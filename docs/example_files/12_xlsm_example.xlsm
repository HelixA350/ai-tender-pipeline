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6" codeName="{00000000-0000-0000-0000-000000000000}"/>
  <workbookPr codeName="ЭтаКнига" defaultThemeVersion="124226"/>
  <mc:AlternateContent xmlns:mc="http://schemas.openxmlformats.org/markup-compatibility/2006">
    <mc:Choice Requires="x15">
      <x15ac:absPath xmlns:x15ac="http://schemas.microsoft.com/office/spreadsheetml/2010/11/ac" url="C:\Users\DurynichevaYulYu\Desktop\"/>
    </mc:Choice>
  </mc:AlternateContent>
  <xr:revisionPtr revIDLastSave="0" documentId="8_{0611DE3C-49D3-471C-B2CE-FEFEC103F149}" xr6:coauthVersionLast="36" xr6:coauthVersionMax="36" xr10:uidLastSave="{00000000-0000-0000-0000-000000000000}"/>
  <bookViews>
    <workbookView xWindow="0" yWindow="0" windowWidth="19200" windowHeight="6300" tabRatio="676" firstSheet="2" activeTab="2" xr2:uid="{00000000-000D-0000-FFFF-FFFF00000000}"/>
  </bookViews>
  <sheets>
    <sheet name="ДС" sheetId="163" r:id="rId1"/>
    <sheet name="Форма ввода" sheetId="162" r:id="rId2"/>
    <sheet name="ДС Многосторонний" sheetId="169" r:id="rId3"/>
    <sheet name="Форма ввода Многосторонний" sheetId="170" r:id="rId4"/>
    <sheet name="Инструкция по заполнению" sheetId="165" r:id="rId5"/>
    <sheet name="Справочник" sheetId="164" state="hidden" r:id="rId6"/>
  </sheets>
  <definedNames>
    <definedName name="_xlnm._FilterDatabase" localSheetId="0" hidden="1">ДС!$A$9:$P$9</definedName>
    <definedName name="_xlnm._FilterDatabase" localSheetId="2" hidden="1">'ДС Многосторонний'!$A$7:$Q$7</definedName>
    <definedName name="_xlnm._FilterDatabase" localSheetId="5" hidden="1">Справочник!$A$1:$R$101</definedName>
    <definedName name="Грузополучатель_БАПТ">Справочник!$Z$2:$Z$16</definedName>
    <definedName name="Грузополучатель_СНХ">Справочник!$AA$2:$AA$11</definedName>
    <definedName name="Грузополучатель_СТГ">Справочник!$Y$2:$Y$21</definedName>
    <definedName name="_xlnm.Print_Area" localSheetId="0">ДС!$A$1:$P$302</definedName>
    <definedName name="_xlnm.Print_Area" localSheetId="2">'ДС Многосторонний'!$A$1:$Q$198</definedName>
    <definedName name="Постоплата">Справочник!$L$3</definedName>
    <definedName name="Постоплата_исключение">Справочник!$O$3</definedName>
    <definedName name="Постоплата_Многостор">Справочник!$L$9</definedName>
    <definedName name="Предоплата">Справочник!$L$4</definedName>
    <definedName name="Предоплата_c_БГ">Справочник!$L$6</definedName>
    <definedName name="Предоплата_c_БГ_Многостор">Справочник!$L$12</definedName>
    <definedName name="Предоплата_исключение">Справочник!$O$4</definedName>
    <definedName name="Предоплата_Многостор">Справочник!$L$10</definedName>
    <definedName name="Таблица" localSheetId="2">'ДС Многосторонний'!$A$7:$Q$46</definedName>
    <definedName name="Таблица">ДС!$A$9:$P$82</definedName>
    <definedName name="Частичнаяпредоплата">Справочник!$L$5</definedName>
    <definedName name="Частичнаяпредоплата_исключение">Справочник!$O$6:$O$9</definedName>
    <definedName name="Частичнаяпредоплата_Многостор">Справочник!$L$11</definedName>
    <definedName name="Частичнаяпредоплата_с_БГ">Справочник!$L$7</definedName>
    <definedName name="Частичнаяпредоплата_с_БГ_Многостор">Справочник!$L$13</definedName>
  </definedNames>
  <calcPr calcId="191028" calcCompleted="0"/>
</workbook>
</file>

<file path=xl/calcChain.xml><?xml version="1.0" encoding="utf-8"?>
<calcChain xmlns="http://schemas.openxmlformats.org/spreadsheetml/2006/main">
  <c r="G291" i="163" l="1"/>
  <c r="A5" i="163"/>
  <c r="B65" i="169"/>
  <c r="B63" i="169"/>
  <c r="B101" i="163"/>
  <c r="B99" i="163"/>
  <c r="B190" i="169"/>
  <c r="B189" i="169"/>
  <c r="H294" i="163"/>
  <c r="B294" i="163"/>
  <c r="B293" i="163"/>
  <c r="L12" i="164"/>
  <c r="L6" i="164"/>
  <c r="C33" i="170"/>
  <c r="C33" i="162"/>
  <c r="C66" i="170"/>
  <c r="C66" i="162"/>
  <c r="B51" i="169"/>
  <c r="B49" i="169"/>
  <c r="H187" i="169"/>
  <c r="P10" i="164"/>
  <c r="P9" i="164"/>
  <c r="L10" i="164"/>
  <c r="L9" i="164"/>
  <c r="H197" i="169"/>
  <c r="B197" i="169"/>
  <c r="H196" i="169"/>
  <c r="B196" i="169"/>
  <c r="B195" i="169"/>
  <c r="B194" i="169"/>
  <c r="B193" i="169"/>
  <c r="B192" i="169"/>
  <c r="B188" i="169"/>
  <c r="B187" i="169"/>
  <c r="A184" i="169"/>
  <c r="B182" i="169"/>
  <c r="A182" i="169"/>
  <c r="B181" i="169"/>
  <c r="A181" i="169"/>
  <c r="B172" i="169"/>
  <c r="B171" i="169"/>
  <c r="B170" i="169"/>
  <c r="B169" i="169"/>
  <c r="B168" i="169"/>
  <c r="B166" i="169"/>
  <c r="B165" i="169"/>
  <c r="B164" i="169"/>
  <c r="B163" i="169"/>
  <c r="B162" i="169"/>
  <c r="B161" i="169"/>
  <c r="B160" i="169"/>
  <c r="B159" i="169"/>
  <c r="B158" i="169"/>
  <c r="A157" i="169"/>
  <c r="J153" i="169"/>
  <c r="J152" i="169"/>
  <c r="J151" i="169"/>
  <c r="J150" i="169"/>
  <c r="J149" i="169"/>
  <c r="J147" i="169"/>
  <c r="J146" i="169"/>
  <c r="J145" i="169"/>
  <c r="J144" i="169"/>
  <c r="J143" i="169"/>
  <c r="J141" i="169"/>
  <c r="J140" i="169"/>
  <c r="J139" i="169"/>
  <c r="J138" i="169"/>
  <c r="J137" i="169"/>
  <c r="J135" i="169"/>
  <c r="J134" i="169"/>
  <c r="J133" i="169"/>
  <c r="J132" i="169"/>
  <c r="J131" i="169"/>
  <c r="J129" i="169"/>
  <c r="J128" i="169"/>
  <c r="J127" i="169"/>
  <c r="J126" i="169"/>
  <c r="J125" i="169"/>
  <c r="J123" i="169"/>
  <c r="J122" i="169"/>
  <c r="J121" i="169"/>
  <c r="J120" i="169"/>
  <c r="J119" i="169"/>
  <c r="J114" i="169"/>
  <c r="J113" i="169"/>
  <c r="J112" i="169"/>
  <c r="J111" i="169"/>
  <c r="J110" i="169"/>
  <c r="J108" i="169"/>
  <c r="J107" i="169"/>
  <c r="J106" i="169"/>
  <c r="J105" i="169"/>
  <c r="J104" i="169"/>
  <c r="J102" i="169"/>
  <c r="J101" i="169"/>
  <c r="J100" i="169"/>
  <c r="J99" i="169"/>
  <c r="J98" i="169"/>
  <c r="J96" i="169"/>
  <c r="J95" i="169"/>
  <c r="J94" i="169"/>
  <c r="J93" i="169"/>
  <c r="J92" i="169"/>
  <c r="J90" i="169"/>
  <c r="J89" i="169"/>
  <c r="J88" i="169"/>
  <c r="J87" i="169"/>
  <c r="J86" i="169"/>
  <c r="J84" i="169"/>
  <c r="J83" i="169"/>
  <c r="J82" i="169"/>
  <c r="J81" i="169"/>
  <c r="J80" i="169"/>
  <c r="B77" i="169"/>
  <c r="B73" i="169"/>
  <c r="B72" i="169"/>
  <c r="B71" i="169"/>
  <c r="B69" i="169"/>
  <c r="B67" i="169"/>
  <c r="B59" i="169"/>
  <c r="B54" i="169"/>
  <c r="N7" i="169"/>
  <c r="M7" i="169"/>
  <c r="K7" i="169"/>
  <c r="J7" i="169"/>
  <c r="K3" i="169"/>
  <c r="K2" i="169"/>
  <c r="K1" i="169"/>
  <c r="A1" i="169"/>
  <c r="O120" i="169"/>
  <c r="O121" i="169"/>
  <c r="O122" i="169"/>
  <c r="O123" i="169"/>
  <c r="O125" i="169"/>
  <c r="O126" i="169"/>
  <c r="O127" i="169"/>
  <c r="O128" i="169"/>
  <c r="O129" i="169"/>
  <c r="O131" i="169"/>
  <c r="O132" i="169"/>
  <c r="O133" i="169"/>
  <c r="O134" i="169"/>
  <c r="O135" i="169"/>
  <c r="O137" i="169"/>
  <c r="O138" i="169"/>
  <c r="O139" i="169"/>
  <c r="O140" i="169"/>
  <c r="O141" i="169"/>
  <c r="O143" i="169"/>
  <c r="O144" i="169"/>
  <c r="O145" i="169"/>
  <c r="O146" i="169"/>
  <c r="O147" i="169"/>
  <c r="O149" i="169"/>
  <c r="O150" i="169"/>
  <c r="O151" i="169"/>
  <c r="O152" i="169"/>
  <c r="O153" i="169"/>
  <c r="O119" i="169"/>
  <c r="O118" i="169"/>
  <c r="O81" i="169"/>
  <c r="O82" i="169"/>
  <c r="O83" i="169"/>
  <c r="O84" i="169"/>
  <c r="O86" i="169"/>
  <c r="O87" i="169"/>
  <c r="O88" i="169"/>
  <c r="O89" i="169"/>
  <c r="O90" i="169"/>
  <c r="O92" i="169"/>
  <c r="O93" i="169"/>
  <c r="O94" i="169"/>
  <c r="O95" i="169"/>
  <c r="O96" i="169"/>
  <c r="O98" i="169"/>
  <c r="O99" i="169"/>
  <c r="O100" i="169"/>
  <c r="O101" i="169"/>
  <c r="O102" i="169"/>
  <c r="O104" i="169"/>
  <c r="O105" i="169"/>
  <c r="O106" i="169"/>
  <c r="O107" i="169"/>
  <c r="O108" i="169"/>
  <c r="O110" i="169"/>
  <c r="O111" i="169"/>
  <c r="O112" i="169"/>
  <c r="O113" i="169"/>
  <c r="O114" i="169"/>
  <c r="O80" i="169"/>
  <c r="O79" i="169"/>
  <c r="A43" i="169"/>
  <c r="A154" i="169"/>
  <c r="A37" i="169"/>
  <c r="A148" i="169"/>
  <c r="A31" i="169"/>
  <c r="A103" i="169"/>
  <c r="A25" i="169"/>
  <c r="A136" i="169"/>
  <c r="A19" i="169"/>
  <c r="A130" i="169"/>
  <c r="A13" i="169"/>
  <c r="A124" i="169"/>
  <c r="T9" i="169"/>
  <c r="T10" i="169"/>
  <c r="T11" i="169"/>
  <c r="T12" i="169"/>
  <c r="T14" i="169"/>
  <c r="T15" i="169"/>
  <c r="T16" i="169"/>
  <c r="T17" i="169"/>
  <c r="T18" i="169"/>
  <c r="T20" i="169"/>
  <c r="T21" i="169"/>
  <c r="T22" i="169"/>
  <c r="T23" i="169"/>
  <c r="T24" i="169"/>
  <c r="T26" i="169"/>
  <c r="T27" i="169"/>
  <c r="T28" i="169"/>
  <c r="T29" i="169"/>
  <c r="T30" i="169"/>
  <c r="T32" i="169"/>
  <c r="T33" i="169"/>
  <c r="T34" i="169"/>
  <c r="T35" i="169"/>
  <c r="T36" i="169"/>
  <c r="T38" i="169"/>
  <c r="T39" i="169"/>
  <c r="T40" i="169"/>
  <c r="T41" i="169"/>
  <c r="T42" i="169"/>
  <c r="S9" i="169"/>
  <c r="S10" i="169"/>
  <c r="S11" i="169"/>
  <c r="S12" i="169"/>
  <c r="S14" i="169"/>
  <c r="S15" i="169"/>
  <c r="S16" i="169"/>
  <c r="S17" i="169"/>
  <c r="S18" i="169"/>
  <c r="S20" i="169"/>
  <c r="S21" i="169"/>
  <c r="S22" i="169"/>
  <c r="S23" i="169"/>
  <c r="S24" i="169"/>
  <c r="S26" i="169"/>
  <c r="S27" i="169"/>
  <c r="S28" i="169"/>
  <c r="S29" i="169"/>
  <c r="S30" i="169"/>
  <c r="S32" i="169"/>
  <c r="S33" i="169"/>
  <c r="S34" i="169"/>
  <c r="S35" i="169"/>
  <c r="S36" i="169"/>
  <c r="S38" i="169"/>
  <c r="S39" i="169"/>
  <c r="S40" i="169"/>
  <c r="S41" i="169"/>
  <c r="S42" i="169"/>
  <c r="T8" i="169"/>
  <c r="S8" i="169"/>
  <c r="C88" i="170"/>
  <c r="C82" i="170"/>
  <c r="C81" i="170"/>
  <c r="C79" i="170"/>
  <c r="C68" i="170"/>
  <c r="B75" i="169"/>
  <c r="B74" i="169"/>
  <c r="C46" i="170"/>
  <c r="C37" i="170"/>
  <c r="D14" i="170"/>
  <c r="L153" i="169"/>
  <c r="I153" i="169"/>
  <c r="H153" i="169"/>
  <c r="G153" i="169"/>
  <c r="F153" i="169"/>
  <c r="E153" i="169"/>
  <c r="D153" i="169"/>
  <c r="C153" i="169"/>
  <c r="B153" i="169"/>
  <c r="A153" i="169"/>
  <c r="L152" i="169"/>
  <c r="I152" i="169"/>
  <c r="H152" i="169"/>
  <c r="G152" i="169"/>
  <c r="F152" i="169"/>
  <c r="E152" i="169"/>
  <c r="D152" i="169"/>
  <c r="C152" i="169"/>
  <c r="B152" i="169"/>
  <c r="A152" i="169"/>
  <c r="L151" i="169"/>
  <c r="I151" i="169"/>
  <c r="H151" i="169"/>
  <c r="G151" i="169"/>
  <c r="F151" i="169"/>
  <c r="E151" i="169"/>
  <c r="D151" i="169"/>
  <c r="C151" i="169"/>
  <c r="B151" i="169"/>
  <c r="A151" i="169"/>
  <c r="L150" i="169"/>
  <c r="I150" i="169"/>
  <c r="H150" i="169"/>
  <c r="G150" i="169"/>
  <c r="F150" i="169"/>
  <c r="E150" i="169"/>
  <c r="D150" i="169"/>
  <c r="C150" i="169"/>
  <c r="B150" i="169"/>
  <c r="A150" i="169"/>
  <c r="L149" i="169"/>
  <c r="I149" i="169"/>
  <c r="H149" i="169"/>
  <c r="G149" i="169"/>
  <c r="F149" i="169"/>
  <c r="E149" i="169"/>
  <c r="D149" i="169"/>
  <c r="C149" i="169"/>
  <c r="B149" i="169"/>
  <c r="A149" i="169"/>
  <c r="L147" i="169"/>
  <c r="I147" i="169"/>
  <c r="H147" i="169"/>
  <c r="G147" i="169"/>
  <c r="F147" i="169"/>
  <c r="E147" i="169"/>
  <c r="D147" i="169"/>
  <c r="C147" i="169"/>
  <c r="B147" i="169"/>
  <c r="A147" i="169"/>
  <c r="L146" i="169"/>
  <c r="I146" i="169"/>
  <c r="H146" i="169"/>
  <c r="G146" i="169"/>
  <c r="F146" i="169"/>
  <c r="E146" i="169"/>
  <c r="D146" i="169"/>
  <c r="C146" i="169"/>
  <c r="B146" i="169"/>
  <c r="A146" i="169"/>
  <c r="L145" i="169"/>
  <c r="I145" i="169"/>
  <c r="H145" i="169"/>
  <c r="G145" i="169"/>
  <c r="F145" i="169"/>
  <c r="E145" i="169"/>
  <c r="D145" i="169"/>
  <c r="C145" i="169"/>
  <c r="B145" i="169"/>
  <c r="A145" i="169"/>
  <c r="L144" i="169"/>
  <c r="I144" i="169"/>
  <c r="H144" i="169"/>
  <c r="G144" i="169"/>
  <c r="F144" i="169"/>
  <c r="E144" i="169"/>
  <c r="D144" i="169"/>
  <c r="C144" i="169"/>
  <c r="B144" i="169"/>
  <c r="A144" i="169"/>
  <c r="L143" i="169"/>
  <c r="I143" i="169"/>
  <c r="H143" i="169"/>
  <c r="G143" i="169"/>
  <c r="F143" i="169"/>
  <c r="E143" i="169"/>
  <c r="D143" i="169"/>
  <c r="C143" i="169"/>
  <c r="B143" i="169"/>
  <c r="A143" i="169"/>
  <c r="L141" i="169"/>
  <c r="I141" i="169"/>
  <c r="H141" i="169"/>
  <c r="G141" i="169"/>
  <c r="F141" i="169"/>
  <c r="E141" i="169"/>
  <c r="D141" i="169"/>
  <c r="C141" i="169"/>
  <c r="B141" i="169"/>
  <c r="A141" i="169"/>
  <c r="L140" i="169"/>
  <c r="I140" i="169"/>
  <c r="H140" i="169"/>
  <c r="G140" i="169"/>
  <c r="F140" i="169"/>
  <c r="E140" i="169"/>
  <c r="D140" i="169"/>
  <c r="C140" i="169"/>
  <c r="B140" i="169"/>
  <c r="A140" i="169"/>
  <c r="L139" i="169"/>
  <c r="I139" i="169"/>
  <c r="H139" i="169"/>
  <c r="G139" i="169"/>
  <c r="F139" i="169"/>
  <c r="E139" i="169"/>
  <c r="D139" i="169"/>
  <c r="C139" i="169"/>
  <c r="B139" i="169"/>
  <c r="A139" i="169"/>
  <c r="L138" i="169"/>
  <c r="I138" i="169"/>
  <c r="K138" i="169"/>
  <c r="H138" i="169"/>
  <c r="G138" i="169"/>
  <c r="F138" i="169"/>
  <c r="E138" i="169"/>
  <c r="D138" i="169"/>
  <c r="C138" i="169"/>
  <c r="B138" i="169"/>
  <c r="A138" i="169"/>
  <c r="L137" i="169"/>
  <c r="I137" i="169"/>
  <c r="H137" i="169"/>
  <c r="G137" i="169"/>
  <c r="F137" i="169"/>
  <c r="E137" i="169"/>
  <c r="D137" i="169"/>
  <c r="C137" i="169"/>
  <c r="B137" i="169"/>
  <c r="A137" i="169"/>
  <c r="L135" i="169"/>
  <c r="I135" i="169"/>
  <c r="H135" i="169"/>
  <c r="G135" i="169"/>
  <c r="F135" i="169"/>
  <c r="E135" i="169"/>
  <c r="D135" i="169"/>
  <c r="C135" i="169"/>
  <c r="B135" i="169"/>
  <c r="A135" i="169"/>
  <c r="L134" i="169"/>
  <c r="I134" i="169"/>
  <c r="K134" i="169"/>
  <c r="H134" i="169"/>
  <c r="G134" i="169"/>
  <c r="F134" i="169"/>
  <c r="E134" i="169"/>
  <c r="D134" i="169"/>
  <c r="C134" i="169"/>
  <c r="B134" i="169"/>
  <c r="A134" i="169"/>
  <c r="L133" i="169"/>
  <c r="I133" i="169"/>
  <c r="H133" i="169"/>
  <c r="G133" i="169"/>
  <c r="F133" i="169"/>
  <c r="E133" i="169"/>
  <c r="D133" i="169"/>
  <c r="C133" i="169"/>
  <c r="B133" i="169"/>
  <c r="A133" i="169"/>
  <c r="L132" i="169"/>
  <c r="I132" i="169"/>
  <c r="H132" i="169"/>
  <c r="G132" i="169"/>
  <c r="F132" i="169"/>
  <c r="E132" i="169"/>
  <c r="D132" i="169"/>
  <c r="C132" i="169"/>
  <c r="B132" i="169"/>
  <c r="A132" i="169"/>
  <c r="L131" i="169"/>
  <c r="I131" i="169"/>
  <c r="H131" i="169"/>
  <c r="G131" i="169"/>
  <c r="F131" i="169"/>
  <c r="E131" i="169"/>
  <c r="D131" i="169"/>
  <c r="C131" i="169"/>
  <c r="B131" i="169"/>
  <c r="A131" i="169"/>
  <c r="L129" i="169"/>
  <c r="I129" i="169"/>
  <c r="H129" i="169"/>
  <c r="G129" i="169"/>
  <c r="F129" i="169"/>
  <c r="E129" i="169"/>
  <c r="D129" i="169"/>
  <c r="C129" i="169"/>
  <c r="B129" i="169"/>
  <c r="A129" i="169"/>
  <c r="L128" i="169"/>
  <c r="I128" i="169"/>
  <c r="H128" i="169"/>
  <c r="G128" i="169"/>
  <c r="F128" i="169"/>
  <c r="E128" i="169"/>
  <c r="D128" i="169"/>
  <c r="C128" i="169"/>
  <c r="B128" i="169"/>
  <c r="A128" i="169"/>
  <c r="L127" i="169"/>
  <c r="I127" i="169"/>
  <c r="H127" i="169"/>
  <c r="G127" i="169"/>
  <c r="F127" i="169"/>
  <c r="E127" i="169"/>
  <c r="D127" i="169"/>
  <c r="C127" i="169"/>
  <c r="B127" i="169"/>
  <c r="A127" i="169"/>
  <c r="L126" i="169"/>
  <c r="I126" i="169"/>
  <c r="H126" i="169"/>
  <c r="G126" i="169"/>
  <c r="F126" i="169"/>
  <c r="E126" i="169"/>
  <c r="D126" i="169"/>
  <c r="C126" i="169"/>
  <c r="B126" i="169"/>
  <c r="A126" i="169"/>
  <c r="L125" i="169"/>
  <c r="I125" i="169"/>
  <c r="H125" i="169"/>
  <c r="G125" i="169"/>
  <c r="F125" i="169"/>
  <c r="E125" i="169"/>
  <c r="D125" i="169"/>
  <c r="C125" i="169"/>
  <c r="B125" i="169"/>
  <c r="A125" i="169"/>
  <c r="L123" i="169"/>
  <c r="I123" i="169"/>
  <c r="H123" i="169"/>
  <c r="G123" i="169"/>
  <c r="F123" i="169"/>
  <c r="E123" i="169"/>
  <c r="D123" i="169"/>
  <c r="C123" i="169"/>
  <c r="B123" i="169"/>
  <c r="A123" i="169"/>
  <c r="L122" i="169"/>
  <c r="I122" i="169"/>
  <c r="H122" i="169"/>
  <c r="G122" i="169"/>
  <c r="F122" i="169"/>
  <c r="E122" i="169"/>
  <c r="D122" i="169"/>
  <c r="C122" i="169"/>
  <c r="B122" i="169"/>
  <c r="A122" i="169"/>
  <c r="L121" i="169"/>
  <c r="I121" i="169"/>
  <c r="H121" i="169"/>
  <c r="G121" i="169"/>
  <c r="F121" i="169"/>
  <c r="E121" i="169"/>
  <c r="D121" i="169"/>
  <c r="C121" i="169"/>
  <c r="B121" i="169"/>
  <c r="A121" i="169"/>
  <c r="L120" i="169"/>
  <c r="I120" i="169"/>
  <c r="H120" i="169"/>
  <c r="G120" i="169"/>
  <c r="F120" i="169"/>
  <c r="E120" i="169"/>
  <c r="D120" i="169"/>
  <c r="C120" i="169"/>
  <c r="B120" i="169"/>
  <c r="A120" i="169"/>
  <c r="L119" i="169"/>
  <c r="I119" i="169"/>
  <c r="H119" i="169"/>
  <c r="G119" i="169"/>
  <c r="F119" i="169"/>
  <c r="E119" i="169"/>
  <c r="D119" i="169"/>
  <c r="C119" i="169"/>
  <c r="B119" i="169"/>
  <c r="A119" i="169"/>
  <c r="L118" i="169"/>
  <c r="I118" i="169"/>
  <c r="H118" i="169"/>
  <c r="G118" i="169"/>
  <c r="F118" i="169"/>
  <c r="E118" i="169"/>
  <c r="D118" i="169"/>
  <c r="C118" i="169"/>
  <c r="B118" i="169"/>
  <c r="A118" i="169"/>
  <c r="L114" i="169"/>
  <c r="I114" i="169"/>
  <c r="H114" i="169"/>
  <c r="G114" i="169"/>
  <c r="F114" i="169"/>
  <c r="E114" i="169"/>
  <c r="D114" i="169"/>
  <c r="C114" i="169"/>
  <c r="B114" i="169"/>
  <c r="A114" i="169"/>
  <c r="L113" i="169"/>
  <c r="I113" i="169"/>
  <c r="K113" i="169"/>
  <c r="H113" i="169"/>
  <c r="G113" i="169"/>
  <c r="F113" i="169"/>
  <c r="E113" i="169"/>
  <c r="D113" i="169"/>
  <c r="C113" i="169"/>
  <c r="B113" i="169"/>
  <c r="A113" i="169"/>
  <c r="L112" i="169"/>
  <c r="I112" i="169"/>
  <c r="H112" i="169"/>
  <c r="G112" i="169"/>
  <c r="F112" i="169"/>
  <c r="E112" i="169"/>
  <c r="D112" i="169"/>
  <c r="C112" i="169"/>
  <c r="B112" i="169"/>
  <c r="A112" i="169"/>
  <c r="L111" i="169"/>
  <c r="I111" i="169"/>
  <c r="H111" i="169"/>
  <c r="G111" i="169"/>
  <c r="F111" i="169"/>
  <c r="E111" i="169"/>
  <c r="D111" i="169"/>
  <c r="C111" i="169"/>
  <c r="B111" i="169"/>
  <c r="A111" i="169"/>
  <c r="L110" i="169"/>
  <c r="I110" i="169"/>
  <c r="H110" i="169"/>
  <c r="G110" i="169"/>
  <c r="F110" i="169"/>
  <c r="E110" i="169"/>
  <c r="D110" i="169"/>
  <c r="C110" i="169"/>
  <c r="B110" i="169"/>
  <c r="A110" i="169"/>
  <c r="L108" i="169"/>
  <c r="I108" i="169"/>
  <c r="H108" i="169"/>
  <c r="G108" i="169"/>
  <c r="F108" i="169"/>
  <c r="E108" i="169"/>
  <c r="D108" i="169"/>
  <c r="C108" i="169"/>
  <c r="B108" i="169"/>
  <c r="A108" i="169"/>
  <c r="L107" i="169"/>
  <c r="I107" i="169"/>
  <c r="H107" i="169"/>
  <c r="G107" i="169"/>
  <c r="F107" i="169"/>
  <c r="E107" i="169"/>
  <c r="D107" i="169"/>
  <c r="C107" i="169"/>
  <c r="B107" i="169"/>
  <c r="A107" i="169"/>
  <c r="L106" i="169"/>
  <c r="I106" i="169"/>
  <c r="H106" i="169"/>
  <c r="G106" i="169"/>
  <c r="F106" i="169"/>
  <c r="E106" i="169"/>
  <c r="D106" i="169"/>
  <c r="C106" i="169"/>
  <c r="B106" i="169"/>
  <c r="A106" i="169"/>
  <c r="L105" i="169"/>
  <c r="I105" i="169"/>
  <c r="K105" i="169"/>
  <c r="H105" i="169"/>
  <c r="G105" i="169"/>
  <c r="F105" i="169"/>
  <c r="E105" i="169"/>
  <c r="D105" i="169"/>
  <c r="C105" i="169"/>
  <c r="B105" i="169"/>
  <c r="A105" i="169"/>
  <c r="L104" i="169"/>
  <c r="I104" i="169"/>
  <c r="H104" i="169"/>
  <c r="G104" i="169"/>
  <c r="F104" i="169"/>
  <c r="E104" i="169"/>
  <c r="D104" i="169"/>
  <c r="C104" i="169"/>
  <c r="B104" i="169"/>
  <c r="A104" i="169"/>
  <c r="L102" i="169"/>
  <c r="I102" i="169"/>
  <c r="H102" i="169"/>
  <c r="G102" i="169"/>
  <c r="F102" i="169"/>
  <c r="E102" i="169"/>
  <c r="D102" i="169"/>
  <c r="C102" i="169"/>
  <c r="B102" i="169"/>
  <c r="A102" i="169"/>
  <c r="L101" i="169"/>
  <c r="I101" i="169"/>
  <c r="H101" i="169"/>
  <c r="G101" i="169"/>
  <c r="F101" i="169"/>
  <c r="E101" i="169"/>
  <c r="D101" i="169"/>
  <c r="C101" i="169"/>
  <c r="B101" i="169"/>
  <c r="A101" i="169"/>
  <c r="L100" i="169"/>
  <c r="I100" i="169"/>
  <c r="H100" i="169"/>
  <c r="G100" i="169"/>
  <c r="F100" i="169"/>
  <c r="E100" i="169"/>
  <c r="D100" i="169"/>
  <c r="C100" i="169"/>
  <c r="B100" i="169"/>
  <c r="A100" i="169"/>
  <c r="L99" i="169"/>
  <c r="I99" i="169"/>
  <c r="H99" i="169"/>
  <c r="G99" i="169"/>
  <c r="F99" i="169"/>
  <c r="E99" i="169"/>
  <c r="D99" i="169"/>
  <c r="C99" i="169"/>
  <c r="B99" i="169"/>
  <c r="A99" i="169"/>
  <c r="L98" i="169"/>
  <c r="I98" i="169"/>
  <c r="H98" i="169"/>
  <c r="G98" i="169"/>
  <c r="F98" i="169"/>
  <c r="E98" i="169"/>
  <c r="D98" i="169"/>
  <c r="C98" i="169"/>
  <c r="B98" i="169"/>
  <c r="A98" i="169"/>
  <c r="L96" i="169"/>
  <c r="I96" i="169"/>
  <c r="H96" i="169"/>
  <c r="G96" i="169"/>
  <c r="F96" i="169"/>
  <c r="E96" i="169"/>
  <c r="D96" i="169"/>
  <c r="C96" i="169"/>
  <c r="B96" i="169"/>
  <c r="A96" i="169"/>
  <c r="L95" i="169"/>
  <c r="I95" i="169"/>
  <c r="K95" i="169"/>
  <c r="M95" i="169"/>
  <c r="N95" i="169"/>
  <c r="H95" i="169"/>
  <c r="G95" i="169"/>
  <c r="F95" i="169"/>
  <c r="E95" i="169"/>
  <c r="D95" i="169"/>
  <c r="C95" i="169"/>
  <c r="B95" i="169"/>
  <c r="A95" i="169"/>
  <c r="L94" i="169"/>
  <c r="I94" i="169"/>
  <c r="H94" i="169"/>
  <c r="G94" i="169"/>
  <c r="F94" i="169"/>
  <c r="E94" i="169"/>
  <c r="D94" i="169"/>
  <c r="C94" i="169"/>
  <c r="B94" i="169"/>
  <c r="A94" i="169"/>
  <c r="L93" i="169"/>
  <c r="I93" i="169"/>
  <c r="H93" i="169"/>
  <c r="G93" i="169"/>
  <c r="F93" i="169"/>
  <c r="E93" i="169"/>
  <c r="D93" i="169"/>
  <c r="C93" i="169"/>
  <c r="B93" i="169"/>
  <c r="A93" i="169"/>
  <c r="L92" i="169"/>
  <c r="I92" i="169"/>
  <c r="H92" i="169"/>
  <c r="G92" i="169"/>
  <c r="F92" i="169"/>
  <c r="E92" i="169"/>
  <c r="D92" i="169"/>
  <c r="C92" i="169"/>
  <c r="B92" i="169"/>
  <c r="A92" i="169"/>
  <c r="L90" i="169"/>
  <c r="I90" i="169"/>
  <c r="H90" i="169"/>
  <c r="G90" i="169"/>
  <c r="F90" i="169"/>
  <c r="E90" i="169"/>
  <c r="D90" i="169"/>
  <c r="C90" i="169"/>
  <c r="B90" i="169"/>
  <c r="A90" i="169"/>
  <c r="L89" i="169"/>
  <c r="I89" i="169"/>
  <c r="K89" i="169"/>
  <c r="H89" i="169"/>
  <c r="G89" i="169"/>
  <c r="F89" i="169"/>
  <c r="E89" i="169"/>
  <c r="D89" i="169"/>
  <c r="C89" i="169"/>
  <c r="B89" i="169"/>
  <c r="A89" i="169"/>
  <c r="L88" i="169"/>
  <c r="I88" i="169"/>
  <c r="H88" i="169"/>
  <c r="G88" i="169"/>
  <c r="F88" i="169"/>
  <c r="E88" i="169"/>
  <c r="D88" i="169"/>
  <c r="C88" i="169"/>
  <c r="B88" i="169"/>
  <c r="A88" i="169"/>
  <c r="L87" i="169"/>
  <c r="I87" i="169"/>
  <c r="K87" i="169"/>
  <c r="H87" i="169"/>
  <c r="G87" i="169"/>
  <c r="F87" i="169"/>
  <c r="E87" i="169"/>
  <c r="D87" i="169"/>
  <c r="C87" i="169"/>
  <c r="B87" i="169"/>
  <c r="A87" i="169"/>
  <c r="L86" i="169"/>
  <c r="I86" i="169"/>
  <c r="H86" i="169"/>
  <c r="G86" i="169"/>
  <c r="F86" i="169"/>
  <c r="E86" i="169"/>
  <c r="D86" i="169"/>
  <c r="C86" i="169"/>
  <c r="B86" i="169"/>
  <c r="A86" i="169"/>
  <c r="L84" i="169"/>
  <c r="I84" i="169"/>
  <c r="H84" i="169"/>
  <c r="G84" i="169"/>
  <c r="F84" i="169"/>
  <c r="E84" i="169"/>
  <c r="D84" i="169"/>
  <c r="C84" i="169"/>
  <c r="B84" i="169"/>
  <c r="A84" i="169"/>
  <c r="L83" i="169"/>
  <c r="I83" i="169"/>
  <c r="K83" i="169"/>
  <c r="H83" i="169"/>
  <c r="G83" i="169"/>
  <c r="F83" i="169"/>
  <c r="E83" i="169"/>
  <c r="D83" i="169"/>
  <c r="C83" i="169"/>
  <c r="B83" i="169"/>
  <c r="A83" i="169"/>
  <c r="L82" i="169"/>
  <c r="I82" i="169"/>
  <c r="H82" i="169"/>
  <c r="G82" i="169"/>
  <c r="F82" i="169"/>
  <c r="E82" i="169"/>
  <c r="D82" i="169"/>
  <c r="C82" i="169"/>
  <c r="B82" i="169"/>
  <c r="A82" i="169"/>
  <c r="L81" i="169"/>
  <c r="I81" i="169"/>
  <c r="H81" i="169"/>
  <c r="G81" i="169"/>
  <c r="F81" i="169"/>
  <c r="E81" i="169"/>
  <c r="D81" i="169"/>
  <c r="C81" i="169"/>
  <c r="B81" i="169"/>
  <c r="A81" i="169"/>
  <c r="L80" i="169"/>
  <c r="I80" i="169"/>
  <c r="H80" i="169"/>
  <c r="G80" i="169"/>
  <c r="F80" i="169"/>
  <c r="E80" i="169"/>
  <c r="D80" i="169"/>
  <c r="C80" i="169"/>
  <c r="B80" i="169"/>
  <c r="A80" i="169"/>
  <c r="L79" i="169"/>
  <c r="I79" i="169"/>
  <c r="H79" i="169"/>
  <c r="G79" i="169"/>
  <c r="F79" i="169"/>
  <c r="E79" i="169"/>
  <c r="D79" i="169"/>
  <c r="C79" i="169"/>
  <c r="B79" i="169"/>
  <c r="A79" i="169"/>
  <c r="L44" i="169"/>
  <c r="K42" i="169"/>
  <c r="M42" i="169"/>
  <c r="N42" i="169"/>
  <c r="K41" i="169"/>
  <c r="M41" i="169"/>
  <c r="N41" i="169"/>
  <c r="K40" i="169"/>
  <c r="M40" i="169"/>
  <c r="N40" i="169"/>
  <c r="K39" i="169"/>
  <c r="M39" i="169"/>
  <c r="N39" i="169"/>
  <c r="K38" i="169"/>
  <c r="M38" i="169"/>
  <c r="N38" i="169"/>
  <c r="K36" i="169"/>
  <c r="M36" i="169"/>
  <c r="N36" i="169"/>
  <c r="K35" i="169"/>
  <c r="M35" i="169"/>
  <c r="N35" i="169"/>
  <c r="K34" i="169"/>
  <c r="M34" i="169"/>
  <c r="N34" i="169"/>
  <c r="K33" i="169"/>
  <c r="M33" i="169"/>
  <c r="N33" i="169"/>
  <c r="K32" i="169"/>
  <c r="M32" i="169"/>
  <c r="N32" i="169"/>
  <c r="K30" i="169"/>
  <c r="M30" i="169"/>
  <c r="N30" i="169"/>
  <c r="K29" i="169"/>
  <c r="M29" i="169"/>
  <c r="N29" i="169"/>
  <c r="K28" i="169"/>
  <c r="M28" i="169"/>
  <c r="N28" i="169"/>
  <c r="K27" i="169"/>
  <c r="M27" i="169"/>
  <c r="N27" i="169"/>
  <c r="K26" i="169"/>
  <c r="M26" i="169"/>
  <c r="N26" i="169"/>
  <c r="K24" i="169"/>
  <c r="M24" i="169"/>
  <c r="N24" i="169"/>
  <c r="K23" i="169"/>
  <c r="M23" i="169"/>
  <c r="N23" i="169"/>
  <c r="K22" i="169"/>
  <c r="M22" i="169"/>
  <c r="N22" i="169"/>
  <c r="K21" i="169"/>
  <c r="M21" i="169"/>
  <c r="N21" i="169"/>
  <c r="K20" i="169"/>
  <c r="M20" i="169"/>
  <c r="N20" i="169"/>
  <c r="K18" i="169"/>
  <c r="M18" i="169"/>
  <c r="N18" i="169"/>
  <c r="K17" i="169"/>
  <c r="M17" i="169"/>
  <c r="N17" i="169"/>
  <c r="K16" i="169"/>
  <c r="M16" i="169"/>
  <c r="N16" i="169"/>
  <c r="K15" i="169"/>
  <c r="M15" i="169"/>
  <c r="N15" i="169"/>
  <c r="K14" i="169"/>
  <c r="M14" i="169"/>
  <c r="N14" i="169"/>
  <c r="K12" i="169"/>
  <c r="M12" i="169"/>
  <c r="N12" i="169"/>
  <c r="K11" i="169"/>
  <c r="M11" i="169"/>
  <c r="N11" i="169"/>
  <c r="K10" i="169"/>
  <c r="M10" i="169"/>
  <c r="N10" i="169"/>
  <c r="K9" i="169"/>
  <c r="M9" i="169"/>
  <c r="N9" i="169"/>
  <c r="K8" i="169"/>
  <c r="M118" i="169"/>
  <c r="K118" i="169"/>
  <c r="J79" i="169"/>
  <c r="M87" i="169"/>
  <c r="N87" i="169"/>
  <c r="A91" i="169"/>
  <c r="L11" i="164"/>
  <c r="L13" i="164"/>
  <c r="N25" i="169"/>
  <c r="N31" i="169"/>
  <c r="K13" i="169"/>
  <c r="A142" i="169"/>
  <c r="B60" i="169"/>
  <c r="N19" i="169"/>
  <c r="N37" i="169"/>
  <c r="M89" i="169"/>
  <c r="N89" i="169"/>
  <c r="N43" i="169"/>
  <c r="K81" i="169"/>
  <c r="M81" i="169"/>
  <c r="N81" i="169"/>
  <c r="K107" i="169"/>
  <c r="M107" i="169"/>
  <c r="N107" i="169"/>
  <c r="K111" i="169"/>
  <c r="M111" i="169"/>
  <c r="N111" i="169"/>
  <c r="K122" i="169"/>
  <c r="M122" i="169"/>
  <c r="N122" i="169"/>
  <c r="M19" i="169"/>
  <c r="K37" i="169"/>
  <c r="M43" i="169"/>
  <c r="K93" i="169"/>
  <c r="M93" i="169"/>
  <c r="N93" i="169"/>
  <c r="K31" i="169"/>
  <c r="M37" i="169"/>
  <c r="M83" i="169"/>
  <c r="N83" i="169"/>
  <c r="K101" i="169"/>
  <c r="M101" i="169"/>
  <c r="N101" i="169"/>
  <c r="M105" i="169"/>
  <c r="N105" i="169"/>
  <c r="M113" i="169"/>
  <c r="N113" i="169"/>
  <c r="K126" i="169"/>
  <c r="M126" i="169"/>
  <c r="N126" i="169"/>
  <c r="K25" i="169"/>
  <c r="M31" i="169"/>
  <c r="A97" i="169"/>
  <c r="K131" i="169"/>
  <c r="K99" i="169"/>
  <c r="M99" i="169"/>
  <c r="N99" i="169"/>
  <c r="K121" i="169"/>
  <c r="M121" i="169"/>
  <c r="N121" i="169"/>
  <c r="K128" i="169"/>
  <c r="M128" i="169"/>
  <c r="N128" i="169"/>
  <c r="K140" i="169"/>
  <c r="M140" i="169"/>
  <c r="N140" i="169"/>
  <c r="K19" i="169"/>
  <c r="M25" i="169"/>
  <c r="K43" i="169"/>
  <c r="K129" i="169"/>
  <c r="M129" i="169"/>
  <c r="N129" i="169"/>
  <c r="K133" i="169"/>
  <c r="M133" i="169"/>
  <c r="N133" i="169"/>
  <c r="K144" i="169"/>
  <c r="M144" i="169"/>
  <c r="N144" i="169"/>
  <c r="K152" i="169"/>
  <c r="M152" i="169"/>
  <c r="N152" i="169"/>
  <c r="A85" i="169"/>
  <c r="A109" i="169"/>
  <c r="K127" i="169"/>
  <c r="M127" i="169"/>
  <c r="N127" i="169"/>
  <c r="K132" i="169"/>
  <c r="M132" i="169"/>
  <c r="N132" i="169"/>
  <c r="K146" i="169"/>
  <c r="M146" i="169"/>
  <c r="N146" i="169"/>
  <c r="K147" i="169"/>
  <c r="M147" i="169"/>
  <c r="N147" i="169"/>
  <c r="K150" i="169"/>
  <c r="M150" i="169"/>
  <c r="N150" i="169"/>
  <c r="K120" i="169"/>
  <c r="M120" i="169"/>
  <c r="N120" i="169"/>
  <c r="A115" i="169"/>
  <c r="M138" i="169"/>
  <c r="N138" i="169"/>
  <c r="K143" i="169"/>
  <c r="K145" i="169"/>
  <c r="M145" i="169"/>
  <c r="N145" i="169"/>
  <c r="K153" i="169"/>
  <c r="M153" i="169"/>
  <c r="N153" i="169"/>
  <c r="K125" i="169"/>
  <c r="M134" i="169"/>
  <c r="N134" i="169"/>
  <c r="K151" i="169"/>
  <c r="M151" i="169"/>
  <c r="N151" i="169"/>
  <c r="K123" i="169"/>
  <c r="M123" i="169"/>
  <c r="N123" i="169"/>
  <c r="K149" i="169"/>
  <c r="K119" i="169"/>
  <c r="K80" i="169"/>
  <c r="K82" i="169"/>
  <c r="M82" i="169"/>
  <c r="N82" i="169"/>
  <c r="K84" i="169"/>
  <c r="M84" i="169"/>
  <c r="N84" i="169"/>
  <c r="K86" i="169"/>
  <c r="K88" i="169"/>
  <c r="M88" i="169"/>
  <c r="N88" i="169"/>
  <c r="K90" i="169"/>
  <c r="M90" i="169"/>
  <c r="N90" i="169"/>
  <c r="K92" i="169"/>
  <c r="K94" i="169"/>
  <c r="M94" i="169"/>
  <c r="N94" i="169"/>
  <c r="K96" i="169"/>
  <c r="M96" i="169"/>
  <c r="N96" i="169"/>
  <c r="K98" i="169"/>
  <c r="K100" i="169"/>
  <c r="M100" i="169"/>
  <c r="N100" i="169"/>
  <c r="K102" i="169"/>
  <c r="M102" i="169"/>
  <c r="N102" i="169"/>
  <c r="K104" i="169"/>
  <c r="K106" i="169"/>
  <c r="M106" i="169"/>
  <c r="N106" i="169"/>
  <c r="K108" i="169"/>
  <c r="M108" i="169"/>
  <c r="N108" i="169"/>
  <c r="K110" i="169"/>
  <c r="K112" i="169"/>
  <c r="M112" i="169"/>
  <c r="N112" i="169"/>
  <c r="K114" i="169"/>
  <c r="M114" i="169"/>
  <c r="N114" i="169"/>
  <c r="K135" i="169"/>
  <c r="M135" i="169"/>
  <c r="N135" i="169"/>
  <c r="K137" i="169"/>
  <c r="K139" i="169"/>
  <c r="M139" i="169"/>
  <c r="N139" i="169"/>
  <c r="K141" i="169"/>
  <c r="M141" i="169"/>
  <c r="N141" i="169"/>
  <c r="N118" i="169"/>
  <c r="N79" i="169"/>
  <c r="M8" i="169"/>
  <c r="M13" i="169"/>
  <c r="K79" i="169"/>
  <c r="J118" i="169"/>
  <c r="M79" i="169"/>
  <c r="M110" i="169"/>
  <c r="K115" i="169"/>
  <c r="M86" i="169"/>
  <c r="K91" i="169"/>
  <c r="M119" i="169"/>
  <c r="K124" i="169"/>
  <c r="M131" i="169"/>
  <c r="K136" i="169"/>
  <c r="M98" i="169"/>
  <c r="K103" i="169"/>
  <c r="M125" i="169"/>
  <c r="K130" i="169"/>
  <c r="M143" i="169"/>
  <c r="K148" i="169"/>
  <c r="M92" i="169"/>
  <c r="K97" i="169"/>
  <c r="M149" i="169"/>
  <c r="K154" i="169"/>
  <c r="M137" i="169"/>
  <c r="K142" i="169"/>
  <c r="M104" i="169"/>
  <c r="K109" i="169"/>
  <c r="M80" i="169"/>
  <c r="K85" i="169"/>
  <c r="K44" i="169"/>
  <c r="M44" i="169"/>
  <c r="N8" i="169"/>
  <c r="N13" i="169"/>
  <c r="C37" i="162"/>
  <c r="L7" i="164"/>
  <c r="L4" i="164"/>
  <c r="L3" i="164"/>
  <c r="B110" i="163"/>
  <c r="B109" i="163"/>
  <c r="O5" i="164"/>
  <c r="O4" i="164"/>
  <c r="Q7" i="164"/>
  <c r="J190" i="163"/>
  <c r="J191" i="163"/>
  <c r="I191" i="163"/>
  <c r="L191" i="163"/>
  <c r="J192" i="163"/>
  <c r="I192" i="163"/>
  <c r="L192" i="163"/>
  <c r="J193" i="163"/>
  <c r="I193" i="163"/>
  <c r="K193" i="163"/>
  <c r="L193" i="163"/>
  <c r="J194" i="163"/>
  <c r="J195" i="163"/>
  <c r="I195" i="163"/>
  <c r="L195" i="163"/>
  <c r="J196" i="163"/>
  <c r="I196" i="163"/>
  <c r="L196" i="163"/>
  <c r="J197" i="163"/>
  <c r="I197" i="163"/>
  <c r="L197" i="163"/>
  <c r="J198" i="163"/>
  <c r="J199" i="163"/>
  <c r="J200" i="163"/>
  <c r="I200" i="163"/>
  <c r="L200" i="163"/>
  <c r="J201" i="163"/>
  <c r="J202" i="163"/>
  <c r="J203" i="163"/>
  <c r="I203" i="163"/>
  <c r="J204" i="163"/>
  <c r="I204" i="163"/>
  <c r="L204" i="163"/>
  <c r="J205" i="163"/>
  <c r="J206" i="163"/>
  <c r="J207" i="163"/>
  <c r="I207" i="163"/>
  <c r="L207" i="163"/>
  <c r="J208" i="163"/>
  <c r="I208" i="163"/>
  <c r="L208" i="163"/>
  <c r="J209" i="163"/>
  <c r="J210" i="163"/>
  <c r="J211" i="163"/>
  <c r="I211" i="163"/>
  <c r="L211" i="163"/>
  <c r="J212" i="163"/>
  <c r="I212" i="163"/>
  <c r="L212" i="163"/>
  <c r="J213" i="163"/>
  <c r="J214" i="163"/>
  <c r="I214" i="163"/>
  <c r="L214" i="163"/>
  <c r="J215" i="163"/>
  <c r="J216" i="163"/>
  <c r="I216" i="163"/>
  <c r="L216" i="163"/>
  <c r="J217" i="163"/>
  <c r="J218" i="163"/>
  <c r="J219" i="163"/>
  <c r="I219" i="163"/>
  <c r="L219" i="163"/>
  <c r="J220" i="163"/>
  <c r="I220" i="163"/>
  <c r="L220" i="163"/>
  <c r="J221" i="163"/>
  <c r="I221" i="163"/>
  <c r="L221" i="163"/>
  <c r="J222" i="163"/>
  <c r="J223" i="163"/>
  <c r="I223" i="163"/>
  <c r="J224" i="163"/>
  <c r="I224" i="163"/>
  <c r="L224" i="163"/>
  <c r="J225" i="163"/>
  <c r="J226" i="163"/>
  <c r="J227" i="163"/>
  <c r="I227" i="163"/>
  <c r="L227" i="163"/>
  <c r="J228" i="163"/>
  <c r="I228" i="163"/>
  <c r="L228" i="163"/>
  <c r="J229" i="163"/>
  <c r="J230" i="163"/>
  <c r="I230" i="163"/>
  <c r="L230" i="163"/>
  <c r="J231" i="163"/>
  <c r="I231" i="163"/>
  <c r="L231" i="163"/>
  <c r="J232" i="163"/>
  <c r="I232" i="163"/>
  <c r="L232" i="163"/>
  <c r="J233" i="163"/>
  <c r="J234" i="163"/>
  <c r="J235" i="163"/>
  <c r="I235" i="163"/>
  <c r="L235" i="163"/>
  <c r="J236" i="163"/>
  <c r="J237" i="163"/>
  <c r="J238" i="163"/>
  <c r="I238" i="163"/>
  <c r="L238" i="163"/>
  <c r="J239" i="163"/>
  <c r="I239" i="163"/>
  <c r="L239" i="163"/>
  <c r="J240" i="163"/>
  <c r="J241" i="163"/>
  <c r="J242" i="163"/>
  <c r="J243" i="163"/>
  <c r="J244" i="163"/>
  <c r="I244" i="163"/>
  <c r="L244" i="163"/>
  <c r="J245" i="163"/>
  <c r="I245" i="163"/>
  <c r="L245" i="163"/>
  <c r="J246" i="163"/>
  <c r="J247" i="163"/>
  <c r="I247" i="163"/>
  <c r="L247" i="163"/>
  <c r="J248" i="163"/>
  <c r="I248" i="163"/>
  <c r="L248" i="163"/>
  <c r="J249" i="163"/>
  <c r="J250" i="163"/>
  <c r="J251" i="163"/>
  <c r="I251" i="163"/>
  <c r="L251" i="163"/>
  <c r="J252" i="163"/>
  <c r="I252" i="163"/>
  <c r="J253" i="163"/>
  <c r="I253" i="163"/>
  <c r="L253" i="163"/>
  <c r="J254" i="163"/>
  <c r="J255" i="163"/>
  <c r="I255" i="163"/>
  <c r="L255" i="163"/>
  <c r="J256" i="163"/>
  <c r="I256" i="163"/>
  <c r="L256" i="163"/>
  <c r="J257" i="163"/>
  <c r="J258" i="163"/>
  <c r="J189" i="163"/>
  <c r="I189" i="163"/>
  <c r="L189" i="163"/>
  <c r="J117" i="163"/>
  <c r="I117" i="163"/>
  <c r="L117" i="163"/>
  <c r="J118" i="163"/>
  <c r="J119" i="163"/>
  <c r="J120" i="163"/>
  <c r="J121" i="163"/>
  <c r="I121" i="163"/>
  <c r="L121" i="163"/>
  <c r="J122" i="163"/>
  <c r="J123" i="163"/>
  <c r="J124" i="163"/>
  <c r="I124" i="163"/>
  <c r="L124" i="163"/>
  <c r="J125" i="163"/>
  <c r="I125" i="163"/>
  <c r="L125" i="163"/>
  <c r="J126" i="163"/>
  <c r="J127" i="163"/>
  <c r="J128" i="163"/>
  <c r="I128" i="163"/>
  <c r="L128" i="163"/>
  <c r="J129" i="163"/>
  <c r="I129" i="163"/>
  <c r="L129" i="163"/>
  <c r="J130" i="163"/>
  <c r="J131" i="163"/>
  <c r="J132" i="163"/>
  <c r="I132" i="163"/>
  <c r="J133" i="163"/>
  <c r="I133" i="163"/>
  <c r="L133" i="163"/>
  <c r="J134" i="163"/>
  <c r="J135" i="163"/>
  <c r="J136" i="163"/>
  <c r="I136" i="163"/>
  <c r="J137" i="163"/>
  <c r="I137" i="163"/>
  <c r="L137" i="163"/>
  <c r="J138" i="163"/>
  <c r="J139" i="163"/>
  <c r="J140" i="163"/>
  <c r="I140" i="163"/>
  <c r="K140" i="163"/>
  <c r="J141" i="163"/>
  <c r="I141" i="163"/>
  <c r="L141" i="163"/>
  <c r="J142" i="163"/>
  <c r="J143" i="163"/>
  <c r="J144" i="163"/>
  <c r="I144" i="163"/>
  <c r="L144" i="163"/>
  <c r="J145" i="163"/>
  <c r="I145" i="163"/>
  <c r="L145" i="163"/>
  <c r="J146" i="163"/>
  <c r="J147" i="163"/>
  <c r="J148" i="163"/>
  <c r="J149" i="163"/>
  <c r="I149" i="163"/>
  <c r="L149" i="163"/>
  <c r="J150" i="163"/>
  <c r="J151" i="163"/>
  <c r="J152" i="163"/>
  <c r="I152" i="163"/>
  <c r="L152" i="163"/>
  <c r="J153" i="163"/>
  <c r="I153" i="163"/>
  <c r="L153" i="163"/>
  <c r="J154" i="163"/>
  <c r="I154" i="163"/>
  <c r="L154" i="163"/>
  <c r="J155" i="163"/>
  <c r="I155" i="163"/>
  <c r="J156" i="163"/>
  <c r="J157" i="163"/>
  <c r="J158" i="163"/>
  <c r="J159" i="163"/>
  <c r="J160" i="163"/>
  <c r="I160" i="163"/>
  <c r="L160" i="163"/>
  <c r="J161" i="163"/>
  <c r="I161" i="163"/>
  <c r="L161" i="163"/>
  <c r="J162" i="163"/>
  <c r="J163" i="163"/>
  <c r="J164" i="163"/>
  <c r="J165" i="163"/>
  <c r="I165" i="163"/>
  <c r="L165" i="163"/>
  <c r="J166" i="163"/>
  <c r="J167" i="163"/>
  <c r="J168" i="163"/>
  <c r="I168" i="163"/>
  <c r="L168" i="163"/>
  <c r="J169" i="163"/>
  <c r="I169" i="163"/>
  <c r="L169" i="163"/>
  <c r="J170" i="163"/>
  <c r="J171" i="163"/>
  <c r="J172" i="163"/>
  <c r="J173" i="163"/>
  <c r="I173" i="163"/>
  <c r="L173" i="163"/>
  <c r="J174" i="163"/>
  <c r="J175" i="163"/>
  <c r="J176" i="163"/>
  <c r="I176" i="163"/>
  <c r="L176" i="163"/>
  <c r="J177" i="163"/>
  <c r="I177" i="163"/>
  <c r="L177" i="163"/>
  <c r="J178" i="163"/>
  <c r="I178" i="163"/>
  <c r="J179" i="163"/>
  <c r="J180" i="163"/>
  <c r="J181" i="163"/>
  <c r="I181" i="163"/>
  <c r="L181" i="163"/>
  <c r="J182" i="163"/>
  <c r="J183" i="163"/>
  <c r="J184" i="163"/>
  <c r="I184" i="163"/>
  <c r="L184" i="163"/>
  <c r="J185" i="163"/>
  <c r="I185" i="163"/>
  <c r="L185" i="163"/>
  <c r="J116" i="163"/>
  <c r="K10" i="163"/>
  <c r="M10" i="163"/>
  <c r="K11" i="163"/>
  <c r="K12" i="163"/>
  <c r="M12" i="163"/>
  <c r="N12" i="163"/>
  <c r="K13" i="163"/>
  <c r="M13" i="163"/>
  <c r="N13" i="163"/>
  <c r="K14" i="163"/>
  <c r="M14" i="163"/>
  <c r="N14" i="163"/>
  <c r="K15" i="163"/>
  <c r="M15" i="163"/>
  <c r="N15" i="163"/>
  <c r="K16" i="163"/>
  <c r="M16" i="163"/>
  <c r="N16" i="163"/>
  <c r="K17" i="163"/>
  <c r="M17" i="163"/>
  <c r="N17" i="163"/>
  <c r="K18" i="163"/>
  <c r="M18" i="163"/>
  <c r="N18" i="163"/>
  <c r="K19" i="163"/>
  <c r="M19" i="163"/>
  <c r="N19" i="163"/>
  <c r="K20" i="163"/>
  <c r="M20" i="163"/>
  <c r="N20" i="163"/>
  <c r="K21" i="163"/>
  <c r="M21" i="163"/>
  <c r="N21" i="163"/>
  <c r="K22" i="163"/>
  <c r="M22" i="163"/>
  <c r="N22" i="163"/>
  <c r="K23" i="163"/>
  <c r="M23" i="163"/>
  <c r="N23" i="163"/>
  <c r="K24" i="163"/>
  <c r="M24" i="163"/>
  <c r="N24" i="163"/>
  <c r="K25" i="163"/>
  <c r="M25" i="163"/>
  <c r="N25" i="163"/>
  <c r="K26" i="163"/>
  <c r="M26" i="163"/>
  <c r="N26" i="163"/>
  <c r="K27" i="163"/>
  <c r="M27" i="163"/>
  <c r="N27" i="163"/>
  <c r="K28" i="163"/>
  <c r="M28" i="163"/>
  <c r="N28" i="163"/>
  <c r="K29" i="163"/>
  <c r="M29" i="163"/>
  <c r="N29" i="163"/>
  <c r="K30" i="163"/>
  <c r="M30" i="163"/>
  <c r="N30" i="163"/>
  <c r="K31" i="163"/>
  <c r="M31" i="163"/>
  <c r="N31" i="163"/>
  <c r="K32" i="163"/>
  <c r="M32" i="163"/>
  <c r="N32" i="163"/>
  <c r="K33" i="163"/>
  <c r="M33" i="163"/>
  <c r="N33" i="163"/>
  <c r="K34" i="163"/>
  <c r="M34" i="163"/>
  <c r="N34" i="163"/>
  <c r="K35" i="163"/>
  <c r="M35" i="163"/>
  <c r="N35" i="163"/>
  <c r="K36" i="163"/>
  <c r="M36" i="163"/>
  <c r="N36" i="163"/>
  <c r="K37" i="163"/>
  <c r="M37" i="163"/>
  <c r="N37" i="163"/>
  <c r="K38" i="163"/>
  <c r="M38" i="163"/>
  <c r="N38" i="163"/>
  <c r="K39" i="163"/>
  <c r="M39" i="163"/>
  <c r="N39" i="163"/>
  <c r="K40" i="163"/>
  <c r="M40" i="163"/>
  <c r="N40" i="163"/>
  <c r="K41" i="163"/>
  <c r="M41" i="163"/>
  <c r="N41" i="163"/>
  <c r="K42" i="163"/>
  <c r="M42" i="163"/>
  <c r="N42" i="163"/>
  <c r="K43" i="163"/>
  <c r="M43" i="163"/>
  <c r="N43" i="163"/>
  <c r="K44" i="163"/>
  <c r="M44" i="163"/>
  <c r="N44" i="163"/>
  <c r="K45" i="163"/>
  <c r="M45" i="163"/>
  <c r="N45" i="163"/>
  <c r="K46" i="163"/>
  <c r="M46" i="163"/>
  <c r="N46" i="163"/>
  <c r="K47" i="163"/>
  <c r="M47" i="163"/>
  <c r="N47" i="163"/>
  <c r="K48" i="163"/>
  <c r="M48" i="163"/>
  <c r="N48" i="163"/>
  <c r="K49" i="163"/>
  <c r="M49" i="163"/>
  <c r="N49" i="163"/>
  <c r="K50" i="163"/>
  <c r="M50" i="163"/>
  <c r="N50" i="163"/>
  <c r="K51" i="163"/>
  <c r="M51" i="163"/>
  <c r="N51" i="163"/>
  <c r="K52" i="163"/>
  <c r="M52" i="163"/>
  <c r="N52" i="163"/>
  <c r="K53" i="163"/>
  <c r="M53" i="163"/>
  <c r="N53" i="163"/>
  <c r="K54" i="163"/>
  <c r="M54" i="163"/>
  <c r="N54" i="163"/>
  <c r="K55" i="163"/>
  <c r="M55" i="163"/>
  <c r="N55" i="163"/>
  <c r="K56" i="163"/>
  <c r="M56" i="163"/>
  <c r="N56" i="163"/>
  <c r="K57" i="163"/>
  <c r="M57" i="163"/>
  <c r="N57" i="163"/>
  <c r="K58" i="163"/>
  <c r="M58" i="163"/>
  <c r="N58" i="163"/>
  <c r="K59" i="163"/>
  <c r="M59" i="163"/>
  <c r="N59" i="163"/>
  <c r="K60" i="163"/>
  <c r="M60" i="163"/>
  <c r="N60" i="163"/>
  <c r="K61" i="163"/>
  <c r="M61" i="163"/>
  <c r="N61" i="163"/>
  <c r="K62" i="163"/>
  <c r="M62" i="163"/>
  <c r="N62" i="163"/>
  <c r="K63" i="163"/>
  <c r="M63" i="163"/>
  <c r="N63" i="163"/>
  <c r="K64" i="163"/>
  <c r="M64" i="163"/>
  <c r="N64" i="163"/>
  <c r="K65" i="163"/>
  <c r="M65" i="163"/>
  <c r="N65" i="163"/>
  <c r="K66" i="163"/>
  <c r="M66" i="163"/>
  <c r="N66" i="163"/>
  <c r="K67" i="163"/>
  <c r="M67" i="163"/>
  <c r="N67" i="163"/>
  <c r="K68" i="163"/>
  <c r="M68" i="163"/>
  <c r="N68" i="163"/>
  <c r="K69" i="163"/>
  <c r="M69" i="163"/>
  <c r="N69" i="163"/>
  <c r="K70" i="163"/>
  <c r="M70" i="163"/>
  <c r="N70" i="163"/>
  <c r="K71" i="163"/>
  <c r="M71" i="163"/>
  <c r="N71" i="163"/>
  <c r="K72" i="163"/>
  <c r="M72" i="163"/>
  <c r="N72" i="163"/>
  <c r="K73" i="163"/>
  <c r="M73" i="163"/>
  <c r="N73" i="163"/>
  <c r="K74" i="163"/>
  <c r="M74" i="163"/>
  <c r="N74" i="163"/>
  <c r="K75" i="163"/>
  <c r="M75" i="163"/>
  <c r="N75" i="163"/>
  <c r="K76" i="163"/>
  <c r="M76" i="163"/>
  <c r="N76" i="163"/>
  <c r="K77" i="163"/>
  <c r="M77" i="163"/>
  <c r="N77" i="163"/>
  <c r="K78" i="163"/>
  <c r="M78" i="163"/>
  <c r="N78" i="163"/>
  <c r="K79" i="163"/>
  <c r="M79" i="163"/>
  <c r="N79" i="163"/>
  <c r="H301" i="163"/>
  <c r="B301" i="163"/>
  <c r="C68" i="162"/>
  <c r="B111" i="163"/>
  <c r="C79" i="162"/>
  <c r="C81" i="162"/>
  <c r="C82" i="162"/>
  <c r="B95" i="163"/>
  <c r="D14" i="162"/>
  <c r="B90" i="163"/>
  <c r="B91" i="163"/>
  <c r="K3" i="163"/>
  <c r="B89" i="163"/>
  <c r="B87" i="163"/>
  <c r="L80" i="163"/>
  <c r="B276" i="163"/>
  <c r="K2" i="163"/>
  <c r="K1" i="163"/>
  <c r="H300" i="163"/>
  <c r="B300" i="163"/>
  <c r="B85" i="163"/>
  <c r="B113" i="163"/>
  <c r="A288" i="163"/>
  <c r="B286" i="163"/>
  <c r="A286" i="163"/>
  <c r="A285" i="163"/>
  <c r="A261" i="163"/>
  <c r="P5" i="164"/>
  <c r="P4" i="164"/>
  <c r="B275" i="163"/>
  <c r="B263" i="163"/>
  <c r="B262" i="163"/>
  <c r="C88" i="162"/>
  <c r="A1" i="163"/>
  <c r="B272" i="163"/>
  <c r="B265" i="163"/>
  <c r="H8" i="164"/>
  <c r="H7" i="164"/>
  <c r="H6" i="164"/>
  <c r="B264" i="163"/>
  <c r="B273" i="163"/>
  <c r="B274" i="163"/>
  <c r="B161" i="163"/>
  <c r="E138" i="163"/>
  <c r="H299" i="163"/>
  <c r="H298" i="163"/>
  <c r="H297" i="163"/>
  <c r="H296" i="163"/>
  <c r="H293" i="163"/>
  <c r="H292" i="163"/>
  <c r="B299" i="163"/>
  <c r="B298" i="163"/>
  <c r="B297" i="163"/>
  <c r="B296" i="163"/>
  <c r="B292" i="163"/>
  <c r="C201" i="163"/>
  <c r="A247" i="163"/>
  <c r="B247" i="163"/>
  <c r="C247" i="163"/>
  <c r="D247" i="163"/>
  <c r="E247" i="163"/>
  <c r="F247" i="163"/>
  <c r="G247" i="163"/>
  <c r="H247" i="163"/>
  <c r="B189" i="163"/>
  <c r="B193" i="163"/>
  <c r="D192" i="163"/>
  <c r="O3" i="164"/>
  <c r="C46" i="162"/>
  <c r="O9" i="164"/>
  <c r="B267" i="163"/>
  <c r="B266" i="163"/>
  <c r="A190" i="163"/>
  <c r="B190" i="163"/>
  <c r="C190" i="163"/>
  <c r="D190" i="163"/>
  <c r="E190" i="163"/>
  <c r="F190" i="163"/>
  <c r="G190" i="163"/>
  <c r="H190" i="163"/>
  <c r="I190" i="163"/>
  <c r="L190" i="163"/>
  <c r="A191" i="163"/>
  <c r="B191" i="163"/>
  <c r="C191" i="163"/>
  <c r="D191" i="163"/>
  <c r="E191" i="163"/>
  <c r="F191" i="163"/>
  <c r="G191" i="163"/>
  <c r="H191" i="163"/>
  <c r="A192" i="163"/>
  <c r="B192" i="163"/>
  <c r="C192" i="163"/>
  <c r="E192" i="163"/>
  <c r="F192" i="163"/>
  <c r="G192" i="163"/>
  <c r="H192" i="163"/>
  <c r="A193" i="163"/>
  <c r="C193" i="163"/>
  <c r="D193" i="163"/>
  <c r="E193" i="163"/>
  <c r="F193" i="163"/>
  <c r="G193" i="163"/>
  <c r="H193" i="163"/>
  <c r="A194" i="163"/>
  <c r="B194" i="163"/>
  <c r="C194" i="163"/>
  <c r="D194" i="163"/>
  <c r="E194" i="163"/>
  <c r="F194" i="163"/>
  <c r="G194" i="163"/>
  <c r="H194" i="163"/>
  <c r="I194" i="163"/>
  <c r="L194" i="163"/>
  <c r="A195" i="163"/>
  <c r="B195" i="163"/>
  <c r="C195" i="163"/>
  <c r="D195" i="163"/>
  <c r="E195" i="163"/>
  <c r="F195" i="163"/>
  <c r="G195" i="163"/>
  <c r="H195" i="163"/>
  <c r="A196" i="163"/>
  <c r="B196" i="163"/>
  <c r="C196" i="163"/>
  <c r="D196" i="163"/>
  <c r="E196" i="163"/>
  <c r="F196" i="163"/>
  <c r="G196" i="163"/>
  <c r="H196" i="163"/>
  <c r="A197" i="163"/>
  <c r="B197" i="163"/>
  <c r="C197" i="163"/>
  <c r="D197" i="163"/>
  <c r="E197" i="163"/>
  <c r="F197" i="163"/>
  <c r="G197" i="163"/>
  <c r="H197" i="163"/>
  <c r="A198" i="163"/>
  <c r="B198" i="163"/>
  <c r="C198" i="163"/>
  <c r="D198" i="163"/>
  <c r="E198" i="163"/>
  <c r="F198" i="163"/>
  <c r="G198" i="163"/>
  <c r="H198" i="163"/>
  <c r="I198" i="163"/>
  <c r="L198" i="163"/>
  <c r="A199" i="163"/>
  <c r="B199" i="163"/>
  <c r="C199" i="163"/>
  <c r="D199" i="163"/>
  <c r="E199" i="163"/>
  <c r="F199" i="163"/>
  <c r="G199" i="163"/>
  <c r="H199" i="163"/>
  <c r="I199" i="163"/>
  <c r="L199" i="163"/>
  <c r="A200" i="163"/>
  <c r="B200" i="163"/>
  <c r="C200" i="163"/>
  <c r="D200" i="163"/>
  <c r="E200" i="163"/>
  <c r="F200" i="163"/>
  <c r="G200" i="163"/>
  <c r="H200" i="163"/>
  <c r="A201" i="163"/>
  <c r="B201" i="163"/>
  <c r="D201" i="163"/>
  <c r="E201" i="163"/>
  <c r="F201" i="163"/>
  <c r="G201" i="163"/>
  <c r="H201" i="163"/>
  <c r="I201" i="163"/>
  <c r="L201" i="163"/>
  <c r="A202" i="163"/>
  <c r="B202" i="163"/>
  <c r="C202" i="163"/>
  <c r="D202" i="163"/>
  <c r="E202" i="163"/>
  <c r="F202" i="163"/>
  <c r="G202" i="163"/>
  <c r="H202" i="163"/>
  <c r="I202" i="163"/>
  <c r="L202" i="163"/>
  <c r="A203" i="163"/>
  <c r="B203" i="163"/>
  <c r="C203" i="163"/>
  <c r="D203" i="163"/>
  <c r="E203" i="163"/>
  <c r="F203" i="163"/>
  <c r="G203" i="163"/>
  <c r="H203" i="163"/>
  <c r="L203" i="163"/>
  <c r="A204" i="163"/>
  <c r="B204" i="163"/>
  <c r="C204" i="163"/>
  <c r="D204" i="163"/>
  <c r="E204" i="163"/>
  <c r="F204" i="163"/>
  <c r="G204" i="163"/>
  <c r="H204" i="163"/>
  <c r="A205" i="163"/>
  <c r="B205" i="163"/>
  <c r="C205" i="163"/>
  <c r="D205" i="163"/>
  <c r="E205" i="163"/>
  <c r="F205" i="163"/>
  <c r="G205" i="163"/>
  <c r="H205" i="163"/>
  <c r="I205" i="163"/>
  <c r="L205" i="163"/>
  <c r="A206" i="163"/>
  <c r="B206" i="163"/>
  <c r="C206" i="163"/>
  <c r="D206" i="163"/>
  <c r="E206" i="163"/>
  <c r="F206" i="163"/>
  <c r="G206" i="163"/>
  <c r="H206" i="163"/>
  <c r="I206" i="163"/>
  <c r="L206" i="163"/>
  <c r="A207" i="163"/>
  <c r="B207" i="163"/>
  <c r="C207" i="163"/>
  <c r="D207" i="163"/>
  <c r="E207" i="163"/>
  <c r="F207" i="163"/>
  <c r="G207" i="163"/>
  <c r="H207" i="163"/>
  <c r="A208" i="163"/>
  <c r="B208" i="163"/>
  <c r="C208" i="163"/>
  <c r="D208" i="163"/>
  <c r="E208" i="163"/>
  <c r="F208" i="163"/>
  <c r="G208" i="163"/>
  <c r="H208" i="163"/>
  <c r="A209" i="163"/>
  <c r="B209" i="163"/>
  <c r="C209" i="163"/>
  <c r="D209" i="163"/>
  <c r="E209" i="163"/>
  <c r="F209" i="163"/>
  <c r="G209" i="163"/>
  <c r="H209" i="163"/>
  <c r="I209" i="163"/>
  <c r="L209" i="163"/>
  <c r="A210" i="163"/>
  <c r="B210" i="163"/>
  <c r="C210" i="163"/>
  <c r="D210" i="163"/>
  <c r="E210" i="163"/>
  <c r="F210" i="163"/>
  <c r="G210" i="163"/>
  <c r="H210" i="163"/>
  <c r="I210" i="163"/>
  <c r="L210" i="163"/>
  <c r="A211" i="163"/>
  <c r="B211" i="163"/>
  <c r="C211" i="163"/>
  <c r="D211" i="163"/>
  <c r="E211" i="163"/>
  <c r="F211" i="163"/>
  <c r="G211" i="163"/>
  <c r="H211" i="163"/>
  <c r="A212" i="163"/>
  <c r="B212" i="163"/>
  <c r="C212" i="163"/>
  <c r="D212" i="163"/>
  <c r="E212" i="163"/>
  <c r="F212" i="163"/>
  <c r="G212" i="163"/>
  <c r="H212" i="163"/>
  <c r="A213" i="163"/>
  <c r="B213" i="163"/>
  <c r="C213" i="163"/>
  <c r="D213" i="163"/>
  <c r="E213" i="163"/>
  <c r="F213" i="163"/>
  <c r="G213" i="163"/>
  <c r="H213" i="163"/>
  <c r="I213" i="163"/>
  <c r="L213" i="163"/>
  <c r="A214" i="163"/>
  <c r="B214" i="163"/>
  <c r="C214" i="163"/>
  <c r="D214" i="163"/>
  <c r="E214" i="163"/>
  <c r="F214" i="163"/>
  <c r="G214" i="163"/>
  <c r="H214" i="163"/>
  <c r="A215" i="163"/>
  <c r="B215" i="163"/>
  <c r="C215" i="163"/>
  <c r="D215" i="163"/>
  <c r="E215" i="163"/>
  <c r="F215" i="163"/>
  <c r="G215" i="163"/>
  <c r="H215" i="163"/>
  <c r="I215" i="163"/>
  <c r="L215" i="163"/>
  <c r="A216" i="163"/>
  <c r="B216" i="163"/>
  <c r="C216" i="163"/>
  <c r="D216" i="163"/>
  <c r="E216" i="163"/>
  <c r="F216" i="163"/>
  <c r="G216" i="163"/>
  <c r="H216" i="163"/>
  <c r="A217" i="163"/>
  <c r="B217" i="163"/>
  <c r="C217" i="163"/>
  <c r="D217" i="163"/>
  <c r="E217" i="163"/>
  <c r="F217" i="163"/>
  <c r="G217" i="163"/>
  <c r="H217" i="163"/>
  <c r="I217" i="163"/>
  <c r="L217" i="163"/>
  <c r="A218" i="163"/>
  <c r="B218" i="163"/>
  <c r="C218" i="163"/>
  <c r="D218" i="163"/>
  <c r="E218" i="163"/>
  <c r="F218" i="163"/>
  <c r="G218" i="163"/>
  <c r="H218" i="163"/>
  <c r="I218" i="163"/>
  <c r="K218" i="163"/>
  <c r="L218" i="163"/>
  <c r="A219" i="163"/>
  <c r="B219" i="163"/>
  <c r="C219" i="163"/>
  <c r="D219" i="163"/>
  <c r="E219" i="163"/>
  <c r="F219" i="163"/>
  <c r="G219" i="163"/>
  <c r="H219" i="163"/>
  <c r="A220" i="163"/>
  <c r="B220" i="163"/>
  <c r="C220" i="163"/>
  <c r="D220" i="163"/>
  <c r="E220" i="163"/>
  <c r="F220" i="163"/>
  <c r="G220" i="163"/>
  <c r="H220" i="163"/>
  <c r="A221" i="163"/>
  <c r="B221" i="163"/>
  <c r="C221" i="163"/>
  <c r="D221" i="163"/>
  <c r="E221" i="163"/>
  <c r="F221" i="163"/>
  <c r="G221" i="163"/>
  <c r="H221" i="163"/>
  <c r="A222" i="163"/>
  <c r="B222" i="163"/>
  <c r="C222" i="163"/>
  <c r="D222" i="163"/>
  <c r="E222" i="163"/>
  <c r="F222" i="163"/>
  <c r="G222" i="163"/>
  <c r="H222" i="163"/>
  <c r="I222" i="163"/>
  <c r="L222" i="163"/>
  <c r="A223" i="163"/>
  <c r="B223" i="163"/>
  <c r="C223" i="163"/>
  <c r="D223" i="163"/>
  <c r="E223" i="163"/>
  <c r="F223" i="163"/>
  <c r="G223" i="163"/>
  <c r="H223" i="163"/>
  <c r="L223" i="163"/>
  <c r="A224" i="163"/>
  <c r="B224" i="163"/>
  <c r="C224" i="163"/>
  <c r="D224" i="163"/>
  <c r="E224" i="163"/>
  <c r="F224" i="163"/>
  <c r="G224" i="163"/>
  <c r="H224" i="163"/>
  <c r="A225" i="163"/>
  <c r="B225" i="163"/>
  <c r="C225" i="163"/>
  <c r="D225" i="163"/>
  <c r="E225" i="163"/>
  <c r="F225" i="163"/>
  <c r="G225" i="163"/>
  <c r="H225" i="163"/>
  <c r="I225" i="163"/>
  <c r="L225" i="163"/>
  <c r="A226" i="163"/>
  <c r="B226" i="163"/>
  <c r="C226" i="163"/>
  <c r="D226" i="163"/>
  <c r="E226" i="163"/>
  <c r="F226" i="163"/>
  <c r="G226" i="163"/>
  <c r="H226" i="163"/>
  <c r="I226" i="163"/>
  <c r="L226" i="163"/>
  <c r="A227" i="163"/>
  <c r="B227" i="163"/>
  <c r="C227" i="163"/>
  <c r="D227" i="163"/>
  <c r="E227" i="163"/>
  <c r="F227" i="163"/>
  <c r="G227" i="163"/>
  <c r="H227" i="163"/>
  <c r="A228" i="163"/>
  <c r="B228" i="163"/>
  <c r="C228" i="163"/>
  <c r="D228" i="163"/>
  <c r="E228" i="163"/>
  <c r="F228" i="163"/>
  <c r="G228" i="163"/>
  <c r="H228" i="163"/>
  <c r="A229" i="163"/>
  <c r="B229" i="163"/>
  <c r="C229" i="163"/>
  <c r="D229" i="163"/>
  <c r="E229" i="163"/>
  <c r="F229" i="163"/>
  <c r="G229" i="163"/>
  <c r="H229" i="163"/>
  <c r="I229" i="163"/>
  <c r="L229" i="163"/>
  <c r="A230" i="163"/>
  <c r="B230" i="163"/>
  <c r="C230" i="163"/>
  <c r="D230" i="163"/>
  <c r="E230" i="163"/>
  <c r="F230" i="163"/>
  <c r="G230" i="163"/>
  <c r="H230" i="163"/>
  <c r="A231" i="163"/>
  <c r="B231" i="163"/>
  <c r="C231" i="163"/>
  <c r="D231" i="163"/>
  <c r="E231" i="163"/>
  <c r="F231" i="163"/>
  <c r="G231" i="163"/>
  <c r="H231" i="163"/>
  <c r="A232" i="163"/>
  <c r="B232" i="163"/>
  <c r="C232" i="163"/>
  <c r="D232" i="163"/>
  <c r="E232" i="163"/>
  <c r="F232" i="163"/>
  <c r="G232" i="163"/>
  <c r="H232" i="163"/>
  <c r="A233" i="163"/>
  <c r="B233" i="163"/>
  <c r="C233" i="163"/>
  <c r="D233" i="163"/>
  <c r="E233" i="163"/>
  <c r="F233" i="163"/>
  <c r="G233" i="163"/>
  <c r="H233" i="163"/>
  <c r="I233" i="163"/>
  <c r="L233" i="163"/>
  <c r="A234" i="163"/>
  <c r="B234" i="163"/>
  <c r="C234" i="163"/>
  <c r="D234" i="163"/>
  <c r="E234" i="163"/>
  <c r="F234" i="163"/>
  <c r="G234" i="163"/>
  <c r="H234" i="163"/>
  <c r="I234" i="163"/>
  <c r="L234" i="163"/>
  <c r="A235" i="163"/>
  <c r="B235" i="163"/>
  <c r="C235" i="163"/>
  <c r="D235" i="163"/>
  <c r="E235" i="163"/>
  <c r="F235" i="163"/>
  <c r="G235" i="163"/>
  <c r="H235" i="163"/>
  <c r="A236" i="163"/>
  <c r="B236" i="163"/>
  <c r="C236" i="163"/>
  <c r="D236" i="163"/>
  <c r="E236" i="163"/>
  <c r="F236" i="163"/>
  <c r="G236" i="163"/>
  <c r="H236" i="163"/>
  <c r="I236" i="163"/>
  <c r="K236" i="163"/>
  <c r="L236" i="163"/>
  <c r="A237" i="163"/>
  <c r="B237" i="163"/>
  <c r="C237" i="163"/>
  <c r="D237" i="163"/>
  <c r="E237" i="163"/>
  <c r="F237" i="163"/>
  <c r="G237" i="163"/>
  <c r="H237" i="163"/>
  <c r="I237" i="163"/>
  <c r="L237" i="163"/>
  <c r="A238" i="163"/>
  <c r="B238" i="163"/>
  <c r="C238" i="163"/>
  <c r="D238" i="163"/>
  <c r="E238" i="163"/>
  <c r="F238" i="163"/>
  <c r="G238" i="163"/>
  <c r="H238" i="163"/>
  <c r="A239" i="163"/>
  <c r="B239" i="163"/>
  <c r="C239" i="163"/>
  <c r="D239" i="163"/>
  <c r="E239" i="163"/>
  <c r="F239" i="163"/>
  <c r="G239" i="163"/>
  <c r="H239" i="163"/>
  <c r="A240" i="163"/>
  <c r="B240" i="163"/>
  <c r="C240" i="163"/>
  <c r="D240" i="163"/>
  <c r="E240" i="163"/>
  <c r="F240" i="163"/>
  <c r="G240" i="163"/>
  <c r="H240" i="163"/>
  <c r="I240" i="163"/>
  <c r="L240" i="163"/>
  <c r="A241" i="163"/>
  <c r="B241" i="163"/>
  <c r="C241" i="163"/>
  <c r="D241" i="163"/>
  <c r="E241" i="163"/>
  <c r="F241" i="163"/>
  <c r="G241" i="163"/>
  <c r="H241" i="163"/>
  <c r="I241" i="163"/>
  <c r="L241" i="163"/>
  <c r="A242" i="163"/>
  <c r="B242" i="163"/>
  <c r="C242" i="163"/>
  <c r="D242" i="163"/>
  <c r="E242" i="163"/>
  <c r="F242" i="163"/>
  <c r="G242" i="163"/>
  <c r="H242" i="163"/>
  <c r="I242" i="163"/>
  <c r="L242" i="163"/>
  <c r="A243" i="163"/>
  <c r="B243" i="163"/>
  <c r="C243" i="163"/>
  <c r="D243" i="163"/>
  <c r="E243" i="163"/>
  <c r="F243" i="163"/>
  <c r="G243" i="163"/>
  <c r="H243" i="163"/>
  <c r="I243" i="163"/>
  <c r="L243" i="163"/>
  <c r="A244" i="163"/>
  <c r="B244" i="163"/>
  <c r="C244" i="163"/>
  <c r="D244" i="163"/>
  <c r="E244" i="163"/>
  <c r="F244" i="163"/>
  <c r="G244" i="163"/>
  <c r="H244" i="163"/>
  <c r="A245" i="163"/>
  <c r="B245" i="163"/>
  <c r="C245" i="163"/>
  <c r="D245" i="163"/>
  <c r="E245" i="163"/>
  <c r="F245" i="163"/>
  <c r="G245" i="163"/>
  <c r="H245" i="163"/>
  <c r="A246" i="163"/>
  <c r="B246" i="163"/>
  <c r="C246" i="163"/>
  <c r="D246" i="163"/>
  <c r="E246" i="163"/>
  <c r="F246" i="163"/>
  <c r="G246" i="163"/>
  <c r="H246" i="163"/>
  <c r="I246" i="163"/>
  <c r="L246" i="163"/>
  <c r="A248" i="163"/>
  <c r="B248" i="163"/>
  <c r="C248" i="163"/>
  <c r="D248" i="163"/>
  <c r="E248" i="163"/>
  <c r="F248" i="163"/>
  <c r="G248" i="163"/>
  <c r="H248" i="163"/>
  <c r="A249" i="163"/>
  <c r="B249" i="163"/>
  <c r="C249" i="163"/>
  <c r="D249" i="163"/>
  <c r="E249" i="163"/>
  <c r="F249" i="163"/>
  <c r="G249" i="163"/>
  <c r="H249" i="163"/>
  <c r="I249" i="163"/>
  <c r="L249" i="163"/>
  <c r="A250" i="163"/>
  <c r="B250" i="163"/>
  <c r="C250" i="163"/>
  <c r="D250" i="163"/>
  <c r="E250" i="163"/>
  <c r="F250" i="163"/>
  <c r="G250" i="163"/>
  <c r="H250" i="163"/>
  <c r="I250" i="163"/>
  <c r="L250" i="163"/>
  <c r="A251" i="163"/>
  <c r="B251" i="163"/>
  <c r="C251" i="163"/>
  <c r="D251" i="163"/>
  <c r="E251" i="163"/>
  <c r="F251" i="163"/>
  <c r="G251" i="163"/>
  <c r="H251" i="163"/>
  <c r="A252" i="163"/>
  <c r="B252" i="163"/>
  <c r="C252" i="163"/>
  <c r="D252" i="163"/>
  <c r="E252" i="163"/>
  <c r="F252" i="163"/>
  <c r="G252" i="163"/>
  <c r="H252" i="163"/>
  <c r="L252" i="163"/>
  <c r="A253" i="163"/>
  <c r="B253" i="163"/>
  <c r="C253" i="163"/>
  <c r="D253" i="163"/>
  <c r="E253" i="163"/>
  <c r="F253" i="163"/>
  <c r="G253" i="163"/>
  <c r="H253" i="163"/>
  <c r="A254" i="163"/>
  <c r="B254" i="163"/>
  <c r="C254" i="163"/>
  <c r="D254" i="163"/>
  <c r="E254" i="163"/>
  <c r="F254" i="163"/>
  <c r="G254" i="163"/>
  <c r="H254" i="163"/>
  <c r="I254" i="163"/>
  <c r="L254" i="163"/>
  <c r="A255" i="163"/>
  <c r="B255" i="163"/>
  <c r="C255" i="163"/>
  <c r="D255" i="163"/>
  <c r="E255" i="163"/>
  <c r="F255" i="163"/>
  <c r="G255" i="163"/>
  <c r="H255" i="163"/>
  <c r="A256" i="163"/>
  <c r="B256" i="163"/>
  <c r="C256" i="163"/>
  <c r="D256" i="163"/>
  <c r="E256" i="163"/>
  <c r="F256" i="163"/>
  <c r="G256" i="163"/>
  <c r="H256" i="163"/>
  <c r="A257" i="163"/>
  <c r="B257" i="163"/>
  <c r="C257" i="163"/>
  <c r="D257" i="163"/>
  <c r="E257" i="163"/>
  <c r="F257" i="163"/>
  <c r="G257" i="163"/>
  <c r="H257" i="163"/>
  <c r="I257" i="163"/>
  <c r="L257" i="163"/>
  <c r="A258" i="163"/>
  <c r="B258" i="163"/>
  <c r="C258" i="163"/>
  <c r="D258" i="163"/>
  <c r="E258" i="163"/>
  <c r="F258" i="163"/>
  <c r="G258" i="163"/>
  <c r="H258" i="163"/>
  <c r="I258" i="163"/>
  <c r="L258" i="163"/>
  <c r="A117" i="163"/>
  <c r="B117" i="163"/>
  <c r="C117" i="163"/>
  <c r="D117" i="163"/>
  <c r="E117" i="163"/>
  <c r="F117" i="163"/>
  <c r="G117" i="163"/>
  <c r="H117" i="163"/>
  <c r="A118" i="163"/>
  <c r="B118" i="163"/>
  <c r="C118" i="163"/>
  <c r="D118" i="163"/>
  <c r="E118" i="163"/>
  <c r="F118" i="163"/>
  <c r="G118" i="163"/>
  <c r="H118" i="163"/>
  <c r="A119" i="163"/>
  <c r="B119" i="163"/>
  <c r="C119" i="163"/>
  <c r="D119" i="163"/>
  <c r="E119" i="163"/>
  <c r="F119" i="163"/>
  <c r="G119" i="163"/>
  <c r="H119" i="163"/>
  <c r="A120" i="163"/>
  <c r="B120" i="163"/>
  <c r="C120" i="163"/>
  <c r="D120" i="163"/>
  <c r="E120" i="163"/>
  <c r="F120" i="163"/>
  <c r="G120" i="163"/>
  <c r="H120" i="163"/>
  <c r="A121" i="163"/>
  <c r="B121" i="163"/>
  <c r="C121" i="163"/>
  <c r="D121" i="163"/>
  <c r="E121" i="163"/>
  <c r="F121" i="163"/>
  <c r="G121" i="163"/>
  <c r="H121" i="163"/>
  <c r="A122" i="163"/>
  <c r="B122" i="163"/>
  <c r="C122" i="163"/>
  <c r="D122" i="163"/>
  <c r="E122" i="163"/>
  <c r="F122" i="163"/>
  <c r="G122" i="163"/>
  <c r="H122" i="163"/>
  <c r="A123" i="163"/>
  <c r="B123" i="163"/>
  <c r="C123" i="163"/>
  <c r="D123" i="163"/>
  <c r="E123" i="163"/>
  <c r="F123" i="163"/>
  <c r="G123" i="163"/>
  <c r="H123" i="163"/>
  <c r="A124" i="163"/>
  <c r="B124" i="163"/>
  <c r="C124" i="163"/>
  <c r="D124" i="163"/>
  <c r="E124" i="163"/>
  <c r="F124" i="163"/>
  <c r="G124" i="163"/>
  <c r="H124" i="163"/>
  <c r="A125" i="163"/>
  <c r="B125" i="163"/>
  <c r="C125" i="163"/>
  <c r="D125" i="163"/>
  <c r="E125" i="163"/>
  <c r="F125" i="163"/>
  <c r="G125" i="163"/>
  <c r="H125" i="163"/>
  <c r="A126" i="163"/>
  <c r="B126" i="163"/>
  <c r="C126" i="163"/>
  <c r="D126" i="163"/>
  <c r="E126" i="163"/>
  <c r="F126" i="163"/>
  <c r="G126" i="163"/>
  <c r="H126" i="163"/>
  <c r="A127" i="163"/>
  <c r="B127" i="163"/>
  <c r="C127" i="163"/>
  <c r="D127" i="163"/>
  <c r="E127" i="163"/>
  <c r="F127" i="163"/>
  <c r="G127" i="163"/>
  <c r="H127" i="163"/>
  <c r="A128" i="163"/>
  <c r="B128" i="163"/>
  <c r="C128" i="163"/>
  <c r="D128" i="163"/>
  <c r="E128" i="163"/>
  <c r="F128" i="163"/>
  <c r="G128" i="163"/>
  <c r="H128" i="163"/>
  <c r="A129" i="163"/>
  <c r="B129" i="163"/>
  <c r="C129" i="163"/>
  <c r="D129" i="163"/>
  <c r="E129" i="163"/>
  <c r="F129" i="163"/>
  <c r="G129" i="163"/>
  <c r="H129" i="163"/>
  <c r="A130" i="163"/>
  <c r="B130" i="163"/>
  <c r="C130" i="163"/>
  <c r="D130" i="163"/>
  <c r="E130" i="163"/>
  <c r="F130" i="163"/>
  <c r="G130" i="163"/>
  <c r="H130" i="163"/>
  <c r="A131" i="163"/>
  <c r="B131" i="163"/>
  <c r="C131" i="163"/>
  <c r="D131" i="163"/>
  <c r="E131" i="163"/>
  <c r="F131" i="163"/>
  <c r="G131" i="163"/>
  <c r="H131" i="163"/>
  <c r="A132" i="163"/>
  <c r="B132" i="163"/>
  <c r="C132" i="163"/>
  <c r="D132" i="163"/>
  <c r="E132" i="163"/>
  <c r="F132" i="163"/>
  <c r="G132" i="163"/>
  <c r="H132" i="163"/>
  <c r="A133" i="163"/>
  <c r="B133" i="163"/>
  <c r="C133" i="163"/>
  <c r="D133" i="163"/>
  <c r="E133" i="163"/>
  <c r="F133" i="163"/>
  <c r="G133" i="163"/>
  <c r="H133" i="163"/>
  <c r="A134" i="163"/>
  <c r="B134" i="163"/>
  <c r="C134" i="163"/>
  <c r="D134" i="163"/>
  <c r="E134" i="163"/>
  <c r="F134" i="163"/>
  <c r="G134" i="163"/>
  <c r="H134" i="163"/>
  <c r="A135" i="163"/>
  <c r="B135" i="163"/>
  <c r="C135" i="163"/>
  <c r="D135" i="163"/>
  <c r="E135" i="163"/>
  <c r="F135" i="163"/>
  <c r="G135" i="163"/>
  <c r="H135" i="163"/>
  <c r="A136" i="163"/>
  <c r="B136" i="163"/>
  <c r="C136" i="163"/>
  <c r="D136" i="163"/>
  <c r="E136" i="163"/>
  <c r="F136" i="163"/>
  <c r="G136" i="163"/>
  <c r="H136" i="163"/>
  <c r="A137" i="163"/>
  <c r="B137" i="163"/>
  <c r="C137" i="163"/>
  <c r="D137" i="163"/>
  <c r="E137" i="163"/>
  <c r="F137" i="163"/>
  <c r="G137" i="163"/>
  <c r="H137" i="163"/>
  <c r="A138" i="163"/>
  <c r="B138" i="163"/>
  <c r="C138" i="163"/>
  <c r="D138" i="163"/>
  <c r="F138" i="163"/>
  <c r="G138" i="163"/>
  <c r="H138" i="163"/>
  <c r="A139" i="163"/>
  <c r="B139" i="163"/>
  <c r="C139" i="163"/>
  <c r="D139" i="163"/>
  <c r="E139" i="163"/>
  <c r="F139" i="163"/>
  <c r="G139" i="163"/>
  <c r="H139" i="163"/>
  <c r="A140" i="163"/>
  <c r="B140" i="163"/>
  <c r="C140" i="163"/>
  <c r="D140" i="163"/>
  <c r="E140" i="163"/>
  <c r="F140" i="163"/>
  <c r="G140" i="163"/>
  <c r="H140" i="163"/>
  <c r="A141" i="163"/>
  <c r="B141" i="163"/>
  <c r="C141" i="163"/>
  <c r="D141" i="163"/>
  <c r="E141" i="163"/>
  <c r="F141" i="163"/>
  <c r="G141" i="163"/>
  <c r="H141" i="163"/>
  <c r="A142" i="163"/>
  <c r="B142" i="163"/>
  <c r="C142" i="163"/>
  <c r="D142" i="163"/>
  <c r="E142" i="163"/>
  <c r="F142" i="163"/>
  <c r="G142" i="163"/>
  <c r="H142" i="163"/>
  <c r="A143" i="163"/>
  <c r="B143" i="163"/>
  <c r="C143" i="163"/>
  <c r="D143" i="163"/>
  <c r="E143" i="163"/>
  <c r="F143" i="163"/>
  <c r="G143" i="163"/>
  <c r="H143" i="163"/>
  <c r="A144" i="163"/>
  <c r="B144" i="163"/>
  <c r="C144" i="163"/>
  <c r="D144" i="163"/>
  <c r="E144" i="163"/>
  <c r="F144" i="163"/>
  <c r="G144" i="163"/>
  <c r="H144" i="163"/>
  <c r="A145" i="163"/>
  <c r="B145" i="163"/>
  <c r="C145" i="163"/>
  <c r="D145" i="163"/>
  <c r="E145" i="163"/>
  <c r="F145" i="163"/>
  <c r="G145" i="163"/>
  <c r="H145" i="163"/>
  <c r="A146" i="163"/>
  <c r="B146" i="163"/>
  <c r="C146" i="163"/>
  <c r="D146" i="163"/>
  <c r="E146" i="163"/>
  <c r="F146" i="163"/>
  <c r="G146" i="163"/>
  <c r="H146" i="163"/>
  <c r="A147" i="163"/>
  <c r="B147" i="163"/>
  <c r="C147" i="163"/>
  <c r="D147" i="163"/>
  <c r="E147" i="163"/>
  <c r="F147" i="163"/>
  <c r="G147" i="163"/>
  <c r="H147" i="163"/>
  <c r="A148" i="163"/>
  <c r="B148" i="163"/>
  <c r="C148" i="163"/>
  <c r="D148" i="163"/>
  <c r="E148" i="163"/>
  <c r="F148" i="163"/>
  <c r="G148" i="163"/>
  <c r="H148" i="163"/>
  <c r="A149" i="163"/>
  <c r="B149" i="163"/>
  <c r="C149" i="163"/>
  <c r="D149" i="163"/>
  <c r="E149" i="163"/>
  <c r="F149" i="163"/>
  <c r="G149" i="163"/>
  <c r="H149" i="163"/>
  <c r="A150" i="163"/>
  <c r="B150" i="163"/>
  <c r="C150" i="163"/>
  <c r="D150" i="163"/>
  <c r="E150" i="163"/>
  <c r="F150" i="163"/>
  <c r="G150" i="163"/>
  <c r="H150" i="163"/>
  <c r="A151" i="163"/>
  <c r="B151" i="163"/>
  <c r="C151" i="163"/>
  <c r="D151" i="163"/>
  <c r="E151" i="163"/>
  <c r="F151" i="163"/>
  <c r="G151" i="163"/>
  <c r="H151" i="163"/>
  <c r="A152" i="163"/>
  <c r="B152" i="163"/>
  <c r="C152" i="163"/>
  <c r="D152" i="163"/>
  <c r="E152" i="163"/>
  <c r="F152" i="163"/>
  <c r="G152" i="163"/>
  <c r="H152" i="163"/>
  <c r="A153" i="163"/>
  <c r="B153" i="163"/>
  <c r="C153" i="163"/>
  <c r="D153" i="163"/>
  <c r="E153" i="163"/>
  <c r="F153" i="163"/>
  <c r="G153" i="163"/>
  <c r="H153" i="163"/>
  <c r="A154" i="163"/>
  <c r="B154" i="163"/>
  <c r="C154" i="163"/>
  <c r="D154" i="163"/>
  <c r="E154" i="163"/>
  <c r="F154" i="163"/>
  <c r="G154" i="163"/>
  <c r="H154" i="163"/>
  <c r="A155" i="163"/>
  <c r="B155" i="163"/>
  <c r="C155" i="163"/>
  <c r="D155" i="163"/>
  <c r="E155" i="163"/>
  <c r="F155" i="163"/>
  <c r="G155" i="163"/>
  <c r="H155" i="163"/>
  <c r="A156" i="163"/>
  <c r="B156" i="163"/>
  <c r="C156" i="163"/>
  <c r="D156" i="163"/>
  <c r="E156" i="163"/>
  <c r="F156" i="163"/>
  <c r="G156" i="163"/>
  <c r="H156" i="163"/>
  <c r="A157" i="163"/>
  <c r="B157" i="163"/>
  <c r="C157" i="163"/>
  <c r="D157" i="163"/>
  <c r="E157" i="163"/>
  <c r="F157" i="163"/>
  <c r="G157" i="163"/>
  <c r="H157" i="163"/>
  <c r="A158" i="163"/>
  <c r="B158" i="163"/>
  <c r="C158" i="163"/>
  <c r="D158" i="163"/>
  <c r="E158" i="163"/>
  <c r="F158" i="163"/>
  <c r="G158" i="163"/>
  <c r="H158" i="163"/>
  <c r="A159" i="163"/>
  <c r="B159" i="163"/>
  <c r="C159" i="163"/>
  <c r="D159" i="163"/>
  <c r="E159" i="163"/>
  <c r="F159" i="163"/>
  <c r="G159" i="163"/>
  <c r="H159" i="163"/>
  <c r="A160" i="163"/>
  <c r="B160" i="163"/>
  <c r="C160" i="163"/>
  <c r="D160" i="163"/>
  <c r="E160" i="163"/>
  <c r="F160" i="163"/>
  <c r="G160" i="163"/>
  <c r="H160" i="163"/>
  <c r="A161" i="163"/>
  <c r="C161" i="163"/>
  <c r="D161" i="163"/>
  <c r="E161" i="163"/>
  <c r="F161" i="163"/>
  <c r="G161" i="163"/>
  <c r="H161" i="163"/>
  <c r="A162" i="163"/>
  <c r="B162" i="163"/>
  <c r="C162" i="163"/>
  <c r="D162" i="163"/>
  <c r="E162" i="163"/>
  <c r="F162" i="163"/>
  <c r="G162" i="163"/>
  <c r="H162" i="163"/>
  <c r="A163" i="163"/>
  <c r="B163" i="163"/>
  <c r="C163" i="163"/>
  <c r="D163" i="163"/>
  <c r="E163" i="163"/>
  <c r="F163" i="163"/>
  <c r="G163" i="163"/>
  <c r="H163" i="163"/>
  <c r="A164" i="163"/>
  <c r="B164" i="163"/>
  <c r="C164" i="163"/>
  <c r="D164" i="163"/>
  <c r="E164" i="163"/>
  <c r="F164" i="163"/>
  <c r="G164" i="163"/>
  <c r="H164" i="163"/>
  <c r="A165" i="163"/>
  <c r="B165" i="163"/>
  <c r="C165" i="163"/>
  <c r="D165" i="163"/>
  <c r="E165" i="163"/>
  <c r="F165" i="163"/>
  <c r="G165" i="163"/>
  <c r="H165" i="163"/>
  <c r="A166" i="163"/>
  <c r="B166" i="163"/>
  <c r="C166" i="163"/>
  <c r="D166" i="163"/>
  <c r="E166" i="163"/>
  <c r="F166" i="163"/>
  <c r="G166" i="163"/>
  <c r="H166" i="163"/>
  <c r="A167" i="163"/>
  <c r="B167" i="163"/>
  <c r="C167" i="163"/>
  <c r="D167" i="163"/>
  <c r="E167" i="163"/>
  <c r="F167" i="163"/>
  <c r="G167" i="163"/>
  <c r="H167" i="163"/>
  <c r="A168" i="163"/>
  <c r="B168" i="163"/>
  <c r="C168" i="163"/>
  <c r="D168" i="163"/>
  <c r="E168" i="163"/>
  <c r="F168" i="163"/>
  <c r="G168" i="163"/>
  <c r="H168" i="163"/>
  <c r="A169" i="163"/>
  <c r="B169" i="163"/>
  <c r="C169" i="163"/>
  <c r="D169" i="163"/>
  <c r="E169" i="163"/>
  <c r="F169" i="163"/>
  <c r="G169" i="163"/>
  <c r="H169" i="163"/>
  <c r="A170" i="163"/>
  <c r="B170" i="163"/>
  <c r="C170" i="163"/>
  <c r="D170" i="163"/>
  <c r="E170" i="163"/>
  <c r="F170" i="163"/>
  <c r="G170" i="163"/>
  <c r="H170" i="163"/>
  <c r="A171" i="163"/>
  <c r="B171" i="163"/>
  <c r="C171" i="163"/>
  <c r="D171" i="163"/>
  <c r="E171" i="163"/>
  <c r="F171" i="163"/>
  <c r="G171" i="163"/>
  <c r="H171" i="163"/>
  <c r="A172" i="163"/>
  <c r="B172" i="163"/>
  <c r="C172" i="163"/>
  <c r="D172" i="163"/>
  <c r="E172" i="163"/>
  <c r="F172" i="163"/>
  <c r="G172" i="163"/>
  <c r="H172" i="163"/>
  <c r="A173" i="163"/>
  <c r="B173" i="163"/>
  <c r="C173" i="163"/>
  <c r="D173" i="163"/>
  <c r="E173" i="163"/>
  <c r="F173" i="163"/>
  <c r="G173" i="163"/>
  <c r="H173" i="163"/>
  <c r="A174" i="163"/>
  <c r="B174" i="163"/>
  <c r="C174" i="163"/>
  <c r="D174" i="163"/>
  <c r="E174" i="163"/>
  <c r="F174" i="163"/>
  <c r="G174" i="163"/>
  <c r="H174" i="163"/>
  <c r="A175" i="163"/>
  <c r="B175" i="163"/>
  <c r="C175" i="163"/>
  <c r="D175" i="163"/>
  <c r="E175" i="163"/>
  <c r="F175" i="163"/>
  <c r="G175" i="163"/>
  <c r="H175" i="163"/>
  <c r="A176" i="163"/>
  <c r="B176" i="163"/>
  <c r="C176" i="163"/>
  <c r="D176" i="163"/>
  <c r="E176" i="163"/>
  <c r="F176" i="163"/>
  <c r="G176" i="163"/>
  <c r="H176" i="163"/>
  <c r="A177" i="163"/>
  <c r="B177" i="163"/>
  <c r="C177" i="163"/>
  <c r="D177" i="163"/>
  <c r="E177" i="163"/>
  <c r="F177" i="163"/>
  <c r="G177" i="163"/>
  <c r="H177" i="163"/>
  <c r="A178" i="163"/>
  <c r="B178" i="163"/>
  <c r="C178" i="163"/>
  <c r="D178" i="163"/>
  <c r="E178" i="163"/>
  <c r="F178" i="163"/>
  <c r="G178" i="163"/>
  <c r="H178" i="163"/>
  <c r="A179" i="163"/>
  <c r="B179" i="163"/>
  <c r="C179" i="163"/>
  <c r="D179" i="163"/>
  <c r="E179" i="163"/>
  <c r="F179" i="163"/>
  <c r="G179" i="163"/>
  <c r="H179" i="163"/>
  <c r="A180" i="163"/>
  <c r="B180" i="163"/>
  <c r="C180" i="163"/>
  <c r="D180" i="163"/>
  <c r="E180" i="163"/>
  <c r="F180" i="163"/>
  <c r="G180" i="163"/>
  <c r="H180" i="163"/>
  <c r="A181" i="163"/>
  <c r="B181" i="163"/>
  <c r="C181" i="163"/>
  <c r="D181" i="163"/>
  <c r="E181" i="163"/>
  <c r="F181" i="163"/>
  <c r="G181" i="163"/>
  <c r="H181" i="163"/>
  <c r="A182" i="163"/>
  <c r="B182" i="163"/>
  <c r="C182" i="163"/>
  <c r="D182" i="163"/>
  <c r="E182" i="163"/>
  <c r="F182" i="163"/>
  <c r="G182" i="163"/>
  <c r="H182" i="163"/>
  <c r="A183" i="163"/>
  <c r="B183" i="163"/>
  <c r="C183" i="163"/>
  <c r="D183" i="163"/>
  <c r="E183" i="163"/>
  <c r="F183" i="163"/>
  <c r="G183" i="163"/>
  <c r="H183" i="163"/>
  <c r="A184" i="163"/>
  <c r="B184" i="163"/>
  <c r="C184" i="163"/>
  <c r="D184" i="163"/>
  <c r="E184" i="163"/>
  <c r="F184" i="163"/>
  <c r="G184" i="163"/>
  <c r="H184" i="163"/>
  <c r="A185" i="163"/>
  <c r="B185" i="163"/>
  <c r="C185" i="163"/>
  <c r="D185" i="163"/>
  <c r="E185" i="163"/>
  <c r="F185" i="163"/>
  <c r="G185" i="163"/>
  <c r="H185" i="163"/>
  <c r="I118" i="163"/>
  <c r="I119" i="163"/>
  <c r="I120" i="163"/>
  <c r="L120" i="163"/>
  <c r="I122" i="163"/>
  <c r="I123" i="163"/>
  <c r="I126" i="163"/>
  <c r="I127" i="163"/>
  <c r="I130" i="163"/>
  <c r="I131" i="163"/>
  <c r="I134" i="163"/>
  <c r="I135" i="163"/>
  <c r="I138" i="163"/>
  <c r="I139" i="163"/>
  <c r="I142" i="163"/>
  <c r="L142" i="163"/>
  <c r="I143" i="163"/>
  <c r="I146" i="163"/>
  <c r="I147" i="163"/>
  <c r="L147" i="163"/>
  <c r="I148" i="163"/>
  <c r="L148" i="163"/>
  <c r="I150" i="163"/>
  <c r="L150" i="163"/>
  <c r="I151" i="163"/>
  <c r="L151" i="163"/>
  <c r="I156" i="163"/>
  <c r="I157" i="163"/>
  <c r="I158" i="163"/>
  <c r="I159" i="163"/>
  <c r="I162" i="163"/>
  <c r="I163" i="163"/>
  <c r="I164" i="163"/>
  <c r="I166" i="163"/>
  <c r="I167" i="163"/>
  <c r="I170" i="163"/>
  <c r="I171" i="163"/>
  <c r="I172" i="163"/>
  <c r="I174" i="163"/>
  <c r="L174" i="163"/>
  <c r="I175" i="163"/>
  <c r="K175" i="163"/>
  <c r="L175" i="163"/>
  <c r="I179" i="163"/>
  <c r="I180" i="163"/>
  <c r="I182" i="163"/>
  <c r="I183" i="163"/>
  <c r="I80" i="163"/>
  <c r="H189" i="163"/>
  <c r="B188" i="163"/>
  <c r="C188" i="163"/>
  <c r="D188" i="163"/>
  <c r="E188" i="163"/>
  <c r="F188" i="163"/>
  <c r="G188" i="163"/>
  <c r="H188" i="163"/>
  <c r="I188" i="163"/>
  <c r="L188" i="163"/>
  <c r="A188" i="163"/>
  <c r="L118" i="163"/>
  <c r="L119" i="163"/>
  <c r="L122" i="163"/>
  <c r="L123" i="163"/>
  <c r="L126" i="163"/>
  <c r="L127" i="163"/>
  <c r="L130" i="163"/>
  <c r="L131" i="163"/>
  <c r="L132" i="163"/>
  <c r="L134" i="163"/>
  <c r="L135" i="163"/>
  <c r="L136" i="163"/>
  <c r="L138" i="163"/>
  <c r="L139" i="163"/>
  <c r="L140" i="163"/>
  <c r="L143" i="163"/>
  <c r="L146" i="163"/>
  <c r="L155" i="163"/>
  <c r="L156" i="163"/>
  <c r="L157" i="163"/>
  <c r="L158" i="163"/>
  <c r="L159" i="163"/>
  <c r="L162" i="163"/>
  <c r="L163" i="163"/>
  <c r="L164" i="163"/>
  <c r="L166" i="163"/>
  <c r="L167" i="163"/>
  <c r="L170" i="163"/>
  <c r="L171" i="163"/>
  <c r="L172" i="163"/>
  <c r="L178" i="163"/>
  <c r="L179" i="163"/>
  <c r="L180" i="163"/>
  <c r="L182" i="163"/>
  <c r="L183" i="163"/>
  <c r="L116" i="163"/>
  <c r="H116" i="163"/>
  <c r="I116" i="163"/>
  <c r="H115" i="163"/>
  <c r="I115" i="163"/>
  <c r="L115" i="163"/>
  <c r="E115" i="163"/>
  <c r="F115" i="163"/>
  <c r="G115" i="163"/>
  <c r="B115" i="163"/>
  <c r="C115" i="163"/>
  <c r="D115" i="163"/>
  <c r="A115" i="163"/>
  <c r="M9" i="163"/>
  <c r="M188" i="163"/>
  <c r="B291" i="163"/>
  <c r="A6" i="163"/>
  <c r="H5" i="164"/>
  <c r="H4" i="164"/>
  <c r="B285" i="163"/>
  <c r="B270" i="163"/>
  <c r="B269" i="163"/>
  <c r="G189" i="163"/>
  <c r="F189" i="163"/>
  <c r="E189" i="163"/>
  <c r="D189" i="163"/>
  <c r="C189" i="163"/>
  <c r="A189" i="163"/>
  <c r="G116" i="163"/>
  <c r="F116" i="163"/>
  <c r="E116" i="163"/>
  <c r="D116" i="163"/>
  <c r="C116" i="163"/>
  <c r="B116" i="163"/>
  <c r="A116" i="163"/>
  <c r="B108" i="163"/>
  <c r="B107" i="163"/>
  <c r="B105" i="163"/>
  <c r="B103" i="163"/>
  <c r="C93" i="163"/>
  <c r="P9" i="163"/>
  <c r="N9" i="163"/>
  <c r="N188" i="163"/>
  <c r="K9" i="163"/>
  <c r="K188" i="163"/>
  <c r="J9" i="163"/>
  <c r="J188" i="163"/>
  <c r="B268" i="163"/>
  <c r="K237" i="163"/>
  <c r="A46" i="169"/>
  <c r="K126" i="163"/>
  <c r="K135" i="163"/>
  <c r="K229" i="163"/>
  <c r="M229" i="163"/>
  <c r="N229" i="163"/>
  <c r="K122" i="163"/>
  <c r="M122" i="163"/>
  <c r="N122" i="163"/>
  <c r="K191" i="163"/>
  <c r="K196" i="163"/>
  <c r="K206" i="163"/>
  <c r="M206" i="163"/>
  <c r="N206" i="163"/>
  <c r="K120" i="163"/>
  <c r="M120" i="163"/>
  <c r="N120" i="163"/>
  <c r="K221" i="163"/>
  <c r="K199" i="163"/>
  <c r="M199" i="163"/>
  <c r="N199" i="163"/>
  <c r="K220" i="163"/>
  <c r="M220" i="163"/>
  <c r="N220" i="163"/>
  <c r="K189" i="163"/>
  <c r="M189" i="163"/>
  <c r="N189" i="163"/>
  <c r="K151" i="163"/>
  <c r="M151" i="163"/>
  <c r="N151" i="163"/>
  <c r="K156" i="163"/>
  <c r="M156" i="163"/>
  <c r="N156" i="163"/>
  <c r="K173" i="163"/>
  <c r="M173" i="163"/>
  <c r="N173" i="163"/>
  <c r="K167" i="163"/>
  <c r="M167" i="163"/>
  <c r="N167" i="163"/>
  <c r="K145" i="163"/>
  <c r="M145" i="163"/>
  <c r="N145" i="163"/>
  <c r="K182" i="163"/>
  <c r="M182" i="163"/>
  <c r="N182" i="163"/>
  <c r="K158" i="163"/>
  <c r="M158" i="163"/>
  <c r="N158" i="163"/>
  <c r="K205" i="163"/>
  <c r="M205" i="163"/>
  <c r="N205" i="163"/>
  <c r="K212" i="163"/>
  <c r="M212" i="163"/>
  <c r="N212" i="163"/>
  <c r="K133" i="163"/>
  <c r="M133" i="163"/>
  <c r="N133" i="163"/>
  <c r="K257" i="163"/>
  <c r="M257" i="163"/>
  <c r="N257" i="163"/>
  <c r="K169" i="163"/>
  <c r="M169" i="163"/>
  <c r="N169" i="163"/>
  <c r="K152" i="163"/>
  <c r="M152" i="163"/>
  <c r="N152" i="163"/>
  <c r="K168" i="163"/>
  <c r="M168" i="163"/>
  <c r="N168" i="163"/>
  <c r="K232" i="163"/>
  <c r="M232" i="163"/>
  <c r="N232" i="163"/>
  <c r="K143" i="163"/>
  <c r="M143" i="163"/>
  <c r="N143" i="163"/>
  <c r="K184" i="163"/>
  <c r="K224" i="163"/>
  <c r="M224" i="163"/>
  <c r="N224" i="163"/>
  <c r="M140" i="163"/>
  <c r="N140" i="163"/>
  <c r="K210" i="163"/>
  <c r="M210" i="163"/>
  <c r="N210" i="163"/>
  <c r="K238" i="163"/>
  <c r="M238" i="163"/>
  <c r="N238" i="163"/>
  <c r="K142" i="163"/>
  <c r="M142" i="163"/>
  <c r="N142" i="163"/>
  <c r="K157" i="163"/>
  <c r="M157" i="163"/>
  <c r="N157" i="163"/>
  <c r="K207" i="163"/>
  <c r="M207" i="163"/>
  <c r="N207" i="163"/>
  <c r="K161" i="163"/>
  <c r="M161" i="163"/>
  <c r="N161" i="163"/>
  <c r="K258" i="163"/>
  <c r="M258" i="163"/>
  <c r="N258" i="163"/>
  <c r="K254" i="163"/>
  <c r="M254" i="163"/>
  <c r="N254" i="163"/>
  <c r="K235" i="163"/>
  <c r="M235" i="163"/>
  <c r="N235" i="163"/>
  <c r="K219" i="163"/>
  <c r="M219" i="163"/>
  <c r="N219" i="163"/>
  <c r="K243" i="163"/>
  <c r="M243" i="163"/>
  <c r="N243" i="163"/>
  <c r="K166" i="163"/>
  <c r="M166" i="163"/>
  <c r="N166" i="163"/>
  <c r="K176" i="163"/>
  <c r="M176" i="163"/>
  <c r="N176" i="163"/>
  <c r="K153" i="163"/>
  <c r="M153" i="163"/>
  <c r="N153" i="163"/>
  <c r="K149" i="163"/>
  <c r="M149" i="163"/>
  <c r="N149" i="163"/>
  <c r="K117" i="163"/>
  <c r="M117" i="163"/>
  <c r="N117" i="163"/>
  <c r="K256" i="163"/>
  <c r="M256" i="163"/>
  <c r="N256" i="163"/>
  <c r="K251" i="163"/>
  <c r="M251" i="163"/>
  <c r="N251" i="163"/>
  <c r="K245" i="163"/>
  <c r="M245" i="163"/>
  <c r="N245" i="163"/>
  <c r="K174" i="163"/>
  <c r="M174" i="163"/>
  <c r="N174" i="163"/>
  <c r="K127" i="163"/>
  <c r="M127" i="163"/>
  <c r="N127" i="163"/>
  <c r="K222" i="163"/>
  <c r="M222" i="163"/>
  <c r="N222" i="163"/>
  <c r="K217" i="163"/>
  <c r="M217" i="163"/>
  <c r="N217" i="163"/>
  <c r="K250" i="163"/>
  <c r="M250" i="163"/>
  <c r="N250" i="163"/>
  <c r="K246" i="163"/>
  <c r="M246" i="163"/>
  <c r="N246" i="163"/>
  <c r="K190" i="163"/>
  <c r="M190" i="163"/>
  <c r="N190" i="163"/>
  <c r="K183" i="163"/>
  <c r="M183" i="163"/>
  <c r="N183" i="163"/>
  <c r="K159" i="163"/>
  <c r="M159" i="163"/>
  <c r="N159" i="163"/>
  <c r="K154" i="163"/>
  <c r="M154" i="163"/>
  <c r="N154" i="163"/>
  <c r="K227" i="163"/>
  <c r="M227" i="163"/>
  <c r="N227" i="163"/>
  <c r="K129" i="163"/>
  <c r="M129" i="163"/>
  <c r="N129" i="163"/>
  <c r="K121" i="163"/>
  <c r="M121" i="163"/>
  <c r="N121" i="163"/>
  <c r="K239" i="163"/>
  <c r="M239" i="163"/>
  <c r="N239" i="163"/>
  <c r="K211" i="163"/>
  <c r="M211" i="163"/>
  <c r="N211" i="163"/>
  <c r="K255" i="163"/>
  <c r="M255" i="163"/>
  <c r="N255" i="163"/>
  <c r="K136" i="163"/>
  <c r="M136" i="163"/>
  <c r="N136" i="163"/>
  <c r="K216" i="163"/>
  <c r="M216" i="163"/>
  <c r="N216" i="163"/>
  <c r="K208" i="163"/>
  <c r="M208" i="163"/>
  <c r="N208" i="163"/>
  <c r="K230" i="163"/>
  <c r="M230" i="163"/>
  <c r="N230" i="163"/>
  <c r="M221" i="163"/>
  <c r="N221" i="163"/>
  <c r="N115" i="163"/>
  <c r="K202" i="163"/>
  <c r="M202" i="163"/>
  <c r="N202" i="163"/>
  <c r="K160" i="163"/>
  <c r="M160" i="163"/>
  <c r="N160" i="163"/>
  <c r="K144" i="163"/>
  <c r="M144" i="163"/>
  <c r="N144" i="163"/>
  <c r="K252" i="163"/>
  <c r="M252" i="163"/>
  <c r="N252" i="163"/>
  <c r="K214" i="163"/>
  <c r="M214" i="163"/>
  <c r="N214" i="163"/>
  <c r="K125" i="163"/>
  <c r="M125" i="163"/>
  <c r="N125" i="163"/>
  <c r="K244" i="163"/>
  <c r="M244" i="163"/>
  <c r="N244" i="163"/>
  <c r="K124" i="163"/>
  <c r="M124" i="163"/>
  <c r="N124" i="163"/>
  <c r="M115" i="163"/>
  <c r="K162" i="163"/>
  <c r="M162" i="163"/>
  <c r="N162" i="163"/>
  <c r="K198" i="163"/>
  <c r="M198" i="163"/>
  <c r="N198" i="163"/>
  <c r="M196" i="163"/>
  <c r="N196" i="163"/>
  <c r="L5" i="164"/>
  <c r="K242" i="163"/>
  <c r="M242" i="163"/>
  <c r="N242" i="163"/>
  <c r="K226" i="163"/>
  <c r="M226" i="163"/>
  <c r="N226" i="163"/>
  <c r="K180" i="163"/>
  <c r="M180" i="163"/>
  <c r="N180" i="163"/>
  <c r="K138" i="163"/>
  <c r="M138" i="163"/>
  <c r="N138" i="163"/>
  <c r="K194" i="163"/>
  <c r="M194" i="163"/>
  <c r="N194" i="163"/>
  <c r="K213" i="163"/>
  <c r="M213" i="163"/>
  <c r="N213" i="163"/>
  <c r="K179" i="163"/>
  <c r="M179" i="163"/>
  <c r="N179" i="163"/>
  <c r="K116" i="163"/>
  <c r="M116" i="163"/>
  <c r="N116" i="163"/>
  <c r="K128" i="163"/>
  <c r="M128" i="163"/>
  <c r="N128" i="163"/>
  <c r="K247" i="163"/>
  <c r="M247" i="163"/>
  <c r="N247" i="163"/>
  <c r="K231" i="163"/>
  <c r="M231" i="163"/>
  <c r="N231" i="163"/>
  <c r="K192" i="163"/>
  <c r="M192" i="163"/>
  <c r="N192" i="163"/>
  <c r="M175" i="163"/>
  <c r="N175" i="163"/>
  <c r="K233" i="163"/>
  <c r="M233" i="163"/>
  <c r="N233" i="163"/>
  <c r="K201" i="163"/>
  <c r="M201" i="163"/>
  <c r="N201" i="163"/>
  <c r="K253" i="163"/>
  <c r="M253" i="163"/>
  <c r="N253" i="163"/>
  <c r="K223" i="163"/>
  <c r="M223" i="163"/>
  <c r="N223" i="163"/>
  <c r="K215" i="163"/>
  <c r="M215" i="163"/>
  <c r="N215" i="163"/>
  <c r="M193" i="163"/>
  <c r="N193" i="163"/>
  <c r="M184" i="163"/>
  <c r="N184" i="163"/>
  <c r="M237" i="163"/>
  <c r="N237" i="163"/>
  <c r="K248" i="163"/>
  <c r="M248" i="163"/>
  <c r="N248" i="163"/>
  <c r="K148" i="163"/>
  <c r="M148" i="163"/>
  <c r="N148" i="163"/>
  <c r="K181" i="163"/>
  <c r="M181" i="163"/>
  <c r="N181" i="163"/>
  <c r="K147" i="163"/>
  <c r="M147" i="163"/>
  <c r="N147" i="163"/>
  <c r="K241" i="163"/>
  <c r="M241" i="163"/>
  <c r="N241" i="163"/>
  <c r="K234" i="163"/>
  <c r="M234" i="163"/>
  <c r="N234" i="163"/>
  <c r="K225" i="163"/>
  <c r="M225" i="163"/>
  <c r="N225" i="163"/>
  <c r="K203" i="163"/>
  <c r="M203" i="163"/>
  <c r="N203" i="163"/>
  <c r="K146" i="163"/>
  <c r="M146" i="163"/>
  <c r="N146" i="163"/>
  <c r="K132" i="163"/>
  <c r="M132" i="163"/>
  <c r="N132" i="163"/>
  <c r="M236" i="163"/>
  <c r="N236" i="163"/>
  <c r="K185" i="163"/>
  <c r="M185" i="163"/>
  <c r="N185" i="163"/>
  <c r="K178" i="163"/>
  <c r="M178" i="163"/>
  <c r="N178" i="163"/>
  <c r="K137" i="163"/>
  <c r="M137" i="163"/>
  <c r="N137" i="163"/>
  <c r="K123" i="163"/>
  <c r="M123" i="163"/>
  <c r="N123" i="163"/>
  <c r="K197" i="163"/>
  <c r="M197" i="163"/>
  <c r="N197" i="163"/>
  <c r="K177" i="163"/>
  <c r="M177" i="163"/>
  <c r="N177" i="163"/>
  <c r="M135" i="163"/>
  <c r="N135" i="163"/>
  <c r="M218" i="163"/>
  <c r="N218" i="163"/>
  <c r="K228" i="163"/>
  <c r="M228" i="163"/>
  <c r="N228" i="163"/>
  <c r="K139" i="163"/>
  <c r="M139" i="163"/>
  <c r="N139" i="163"/>
  <c r="O7" i="164"/>
  <c r="K249" i="163"/>
  <c r="M249" i="163"/>
  <c r="N249" i="163"/>
  <c r="K204" i="163"/>
  <c r="M204" i="163"/>
  <c r="N204" i="163"/>
  <c r="M191" i="163"/>
  <c r="N191" i="163"/>
  <c r="K134" i="163"/>
  <c r="M134" i="163"/>
  <c r="N134" i="163"/>
  <c r="K119" i="163"/>
  <c r="M119" i="163"/>
  <c r="N119" i="163"/>
  <c r="K209" i="163"/>
  <c r="M209" i="163"/>
  <c r="N209" i="163"/>
  <c r="K163" i="163"/>
  <c r="M163" i="163"/>
  <c r="N163" i="163"/>
  <c r="K172" i="163"/>
  <c r="M172" i="163"/>
  <c r="N172" i="163"/>
  <c r="K131" i="163"/>
  <c r="M131" i="163"/>
  <c r="N131" i="163"/>
  <c r="K118" i="163"/>
  <c r="M118" i="163"/>
  <c r="N118" i="163"/>
  <c r="K171" i="163"/>
  <c r="M171" i="163"/>
  <c r="N171" i="163"/>
  <c r="K130" i="163"/>
  <c r="M130" i="163"/>
  <c r="N130" i="163"/>
  <c r="K240" i="163"/>
  <c r="M240" i="163"/>
  <c r="N240" i="163"/>
  <c r="K195" i="163"/>
  <c r="M195" i="163"/>
  <c r="N195" i="163"/>
  <c r="K170" i="163"/>
  <c r="M170" i="163"/>
  <c r="N170" i="163"/>
  <c r="K150" i="163"/>
  <c r="M150" i="163"/>
  <c r="N150" i="163"/>
  <c r="K80" i="163"/>
  <c r="M126" i="163"/>
  <c r="N126" i="163"/>
  <c r="K165" i="163"/>
  <c r="M165" i="163"/>
  <c r="N165" i="163"/>
  <c r="K155" i="163"/>
  <c r="M155" i="163"/>
  <c r="N155" i="163"/>
  <c r="M11" i="163"/>
  <c r="N11" i="163"/>
  <c r="K164" i="163"/>
  <c r="M164" i="163"/>
  <c r="N164" i="163"/>
  <c r="K141" i="163"/>
  <c r="M141" i="163"/>
  <c r="N141" i="163"/>
  <c r="K200" i="163"/>
  <c r="M200" i="163"/>
  <c r="N200" i="163"/>
  <c r="N10" i="163"/>
  <c r="K115" i="163"/>
  <c r="J115" i="163"/>
  <c r="N80" i="169"/>
  <c r="N85" i="169"/>
  <c r="M85" i="169"/>
  <c r="N137" i="169"/>
  <c r="N142" i="169"/>
  <c r="M142" i="169"/>
  <c r="N92" i="169"/>
  <c r="N97" i="169"/>
  <c r="M97" i="169"/>
  <c r="N125" i="169"/>
  <c r="N130" i="169"/>
  <c r="M130" i="169"/>
  <c r="N131" i="169"/>
  <c r="N136" i="169"/>
  <c r="M136" i="169"/>
  <c r="N86" i="169"/>
  <c r="N91" i="169"/>
  <c r="M91" i="169"/>
  <c r="N104" i="169"/>
  <c r="N109" i="169"/>
  <c r="M109" i="169"/>
  <c r="N149" i="169"/>
  <c r="N154" i="169"/>
  <c r="M154" i="169"/>
  <c r="N143" i="169"/>
  <c r="N148" i="169"/>
  <c r="M148" i="169"/>
  <c r="N98" i="169"/>
  <c r="N103" i="169"/>
  <c r="M103" i="169"/>
  <c r="N119" i="169"/>
  <c r="N124" i="169"/>
  <c r="M124" i="169"/>
  <c r="N110" i="169"/>
  <c r="N115" i="169"/>
  <c r="M115" i="169"/>
  <c r="N44" i="169"/>
  <c r="A45" i="169"/>
  <c r="M80" i="163"/>
  <c r="N80" i="163"/>
  <c r="B96" i="163"/>
  <c r="A82" i="163"/>
  <c r="A81" i="163"/>
</calcChain>
</file>

<file path=xl/sharedStrings.xml><?xml version="1.0" encoding="utf-8"?>
<sst xmlns="http://schemas.openxmlformats.org/spreadsheetml/2006/main" count="1258" uniqueCount="804">
  <si>
    <t>1.</t>
  </si>
  <si>
    <t xml:space="preserve">В соответствии с пунктом 1.1 Договора Поставщик обязуется поставить Покупателю следующий Товар: </t>
  </si>
  <si>
    <t>№ п/п</t>
  </si>
  <si>
    <t>Наименование Товара Поставщика</t>
  </si>
  <si>
    <t>ГОСТ, ТУ, технические характеристики</t>
  </si>
  <si>
    <t>Наименование Товара для отражения в учетных системах Покупателя</t>
  </si>
  <si>
    <t>Код АСВ НСИ</t>
  </si>
  <si>
    <t>№ техн. поз.</t>
  </si>
  <si>
    <t>Ед. изм.</t>
  </si>
  <si>
    <t>Производитель, Страна происхождения</t>
  </si>
  <si>
    <t>Кол-во</t>
  </si>
  <si>
    <t>Ставка НДС,%</t>
  </si>
  <si>
    <t>Грузополучатель</t>
  </si>
  <si>
    <t>ВСЕГО</t>
  </si>
  <si>
    <t>2.</t>
  </si>
  <si>
    <t>Условия поставки:</t>
  </si>
  <si>
    <t>3.</t>
  </si>
  <si>
    <r>
      <t>Грузоотправитель:</t>
    </r>
    <r>
      <rPr>
        <sz val="28"/>
        <rFont val="Times New Roman"/>
        <family val="1"/>
        <charset val="204"/>
      </rPr>
      <t xml:space="preserve"> </t>
    </r>
  </si>
  <si>
    <t>4.</t>
  </si>
  <si>
    <t>Грузополучатель:</t>
  </si>
  <si>
    <t>5.</t>
  </si>
  <si>
    <t>Срок поставки:</t>
  </si>
  <si>
    <t>6.</t>
  </si>
  <si>
    <r>
      <t>Порядок оплаты:</t>
    </r>
    <r>
      <rPr>
        <sz val="28"/>
        <rFont val="Times New Roman"/>
        <family val="1"/>
        <charset val="204"/>
      </rPr>
      <t xml:space="preserve"> </t>
    </r>
  </si>
  <si>
    <t>6.1.</t>
  </si>
  <si>
    <t>6.2.</t>
  </si>
  <si>
    <t>7.</t>
  </si>
  <si>
    <t>Поставщик обязан наряду с прочими относящимися к Товару документами передать Покупателю одновременно с передачей Товара следующие документы:</t>
  </si>
  <si>
    <t>а)</t>
  </si>
  <si>
    <r>
      <rPr>
        <u/>
        <sz val="28"/>
        <rFont val="Times New Roman"/>
        <family val="1"/>
        <charset val="204"/>
      </rPr>
      <t>первичная</t>
    </r>
    <r>
      <rPr>
        <sz val="28"/>
        <rFont val="Times New Roman"/>
        <family val="1"/>
        <charset val="204"/>
      </rPr>
      <t xml:space="preserve"> документация:</t>
    </r>
  </si>
  <si>
    <t>б)</t>
  </si>
  <si>
    <r>
      <rPr>
        <u/>
        <sz val="30"/>
        <rFont val="Times New Roman"/>
        <family val="1"/>
        <charset val="204"/>
      </rPr>
      <t>техническая</t>
    </r>
    <r>
      <rPr>
        <sz val="30"/>
        <rFont val="Times New Roman"/>
        <family val="1"/>
        <charset val="204"/>
      </rPr>
      <t xml:space="preserve"> документация:</t>
    </r>
  </si>
  <si>
    <t>8.</t>
  </si>
  <si>
    <r>
      <t>Гарантия на Товар:</t>
    </r>
    <r>
      <rPr>
        <sz val="28"/>
        <rFont val="Times New Roman"/>
        <family val="1"/>
        <charset val="204"/>
      </rPr>
      <t xml:space="preserve"> </t>
    </r>
  </si>
  <si>
    <t>9.</t>
  </si>
  <si>
    <t>Датой поставки считается:</t>
  </si>
  <si>
    <t>10.</t>
  </si>
  <si>
    <t>Стороны согласовали следующие контактные лица, адреса электронной почты для направления документов, план-графиков, информации о датах отгрузки и уведомлений в тех случаях, когда такой способ направления  предусмотрен Договором или настоящим дополнительным соглашением:</t>
  </si>
  <si>
    <t>-</t>
  </si>
  <si>
    <t>11.</t>
  </si>
  <si>
    <t>12.</t>
  </si>
  <si>
    <t>12.1.</t>
  </si>
  <si>
    <t>12.2.</t>
  </si>
  <si>
    <t>несет все расходы, связанные, в том числе, с хранением отгруженного Товара, с простоем транспортных средств под разгрузкой (железнодорожного или автомобильного транспорта), возвратом Товара, другие расходы, понесенные Покупателем в связи с отказом от приемки Товара.</t>
  </si>
  <si>
    <t>13.</t>
  </si>
  <si>
    <t>13.1.</t>
  </si>
  <si>
    <t>при поставке Товара в течение 10 (десяти) дней, следующих за датой окончания срока поставки, установленного в п.5 настоящего дополнительного соглашения, цена устанавливается в размере:</t>
  </si>
  <si>
    <t>13.2.</t>
  </si>
  <si>
    <t>при поставке Товара по истечении 10 (десяти) дней, следующих за датой окончания срока поставки, установленного в п.5 настоящего дополнительного соглашения, цена устанавливается в размере:</t>
  </si>
  <si>
    <t>13.3.</t>
  </si>
  <si>
    <t>В этом случае:
- оплата Товара осуществляется Покупателем только на основании товарных накладных и счетов-фактур или УПД, в которых цена Товара указана с учетом положений настоящего пункта;
- товарные накладные и счета-фактуры или УПД, оформленные с нарушением условий о цене Товара, установленных в настоящем пункте, к оплате не принимаются и Покупатель не несет ответственности за несвоевременную оплату Товара;
- при отгрузке Товара автомобильным транспортом Поставщика и получении его Покупателем по Транспортному документу, в котором цена Товара не соответствует цене, указанной в п. 13 настоящего дополнительного соглашения, Покупатель вправе внести изменения в Транспортный документ: зачеркнуть указанную Поставщиком цену и указать цену, указанную в п. 13 настоящего дополнительного соглашения.</t>
  </si>
  <si>
    <t>Специальные условия:</t>
  </si>
  <si>
    <t>В товарной накладной или УПД в строке «Основание» Поставщик обязан указывать после номера договорного документа в круглых скобках номера ДД и РО через запятую, указанные в соответствующем договорном документе (указаны в верхнем правом углу договорного документа либо перед таблицей с перечнем поставляемых Товаров). Под номером ДД Стороны понимают номер договорного документа, начинающийся на цифру 12 и  содержащий 12 знаков. Под номером PO Стороны понимают номер заказа на поставку (purchase order), начинающийся на цифру 45 и содержащий 10 знаков.</t>
  </si>
  <si>
    <t>В Акте об оказании услуг/выполнении работ в обязательном порядке указываются ИНН и КПП Сторон.</t>
  </si>
  <si>
    <t>В случае обмена первичными документами с использованием электронного документооборота:
-применяется Счет-фактура и документ об отгрузке товаров (выполнении работ), передаче имущественных прав (документ об оказании услуг) с функцией СЧФДОП, соответствующий универсальному передаточному документу (УПД), согласно форматам, утвержденным Приказом ФНС России от 19.12.2018 № ММВ-7-15/820@; 
-номера ДД и РО указываются в соответствующих тегах XML-файла:</t>
  </si>
  <si>
    <t>Доп. информация</t>
  </si>
  <si>
    <t>Тег</t>
  </si>
  <si>
    <t>Подтег</t>
  </si>
  <si>
    <t>Требования к заполнению</t>
  </si>
  <si>
    <t>Номер ДД</t>
  </si>
  <si>
    <t>ИнфПолФХЖ1</t>
  </si>
  <si>
    <t>ТекстИнф/Идентиф
ТекстИнф/Значен</t>
  </si>
  <si>
    <t>ДОГОВОР
N(12), вида 12**********</t>
  </si>
  <si>
    <t>Номер PO</t>
  </si>
  <si>
    <t>ЗАКАЗ
N(10), вида 45********</t>
  </si>
  <si>
    <t>ИЛИ
Иной аналогичный формат ДД и РО указанный  в соответствующих тегах XML-файла, согласованный Сторонами.</t>
  </si>
  <si>
    <t>Оплата Товара осуществляется Покупателем только на основании товарных накладных/УПД, заполненных с учетом положений настоящей Спецификации; товарные накладные и УПД, оформленные с нарушением условий об указании номеров ДД и РО, установленных в настоящем пункте, к оплате не принимаются, и Покупатель не несет ответственности за несвоевременную оплату Товара.</t>
  </si>
  <si>
    <t>В случае, если на дату заключения настоящего дополнительного соглашения  между Сторонами уже возникли фактические отношения по его исполнению, подготовке к его исполнению, настоящее дополнительное соглашение распространяет свое действие на них с даты их возникновения.</t>
  </si>
  <si>
    <t>Поставщик</t>
  </si>
  <si>
    <t>Покупатель</t>
  </si>
  <si>
    <t>Банковские реквизиты</t>
  </si>
  <si>
    <t xml:space="preserve">&lt;#stmp&gt; </t>
  </si>
  <si>
    <t>Заполните форму и все значения подтянутся в Шаблон Допсоглашения</t>
  </si>
  <si>
    <t>№ п/п ДС</t>
  </si>
  <si>
    <t>Наименование пункта</t>
  </si>
  <si>
    <t>Желтые поля - ввод данных, Серые поля - выпадающий список</t>
  </si>
  <si>
    <t>Основные данные ДС</t>
  </si>
  <si>
    <t>0.</t>
  </si>
  <si>
    <t>№ договора поставки</t>
  </si>
  <si>
    <t>Дата договора поставки</t>
  </si>
  <si>
    <t>№ дополнительного соглашения</t>
  </si>
  <si>
    <t>Дата дополнительного соглашения</t>
  </si>
  <si>
    <t>Код проекта (справочно)</t>
  </si>
  <si>
    <t xml:space="preserve">№ RCM карточки </t>
  </si>
  <si>
    <r>
      <t>№ заказа поставщику</t>
    </r>
    <r>
      <rPr>
        <b/>
        <sz val="10"/>
        <color rgb="FFFF0000"/>
        <rFont val="Arial Cyr"/>
        <charset val="204"/>
      </rPr>
      <t xml:space="preserve"> </t>
    </r>
  </si>
  <si>
    <t>Предприятие "Покупатель"</t>
  </si>
  <si>
    <t>(Выпадающий список)</t>
  </si>
  <si>
    <t>Предприятие "Поставщик" (длинное наименование)</t>
  </si>
  <si>
    <t>Предприятие "Поставщик" (краткое наименование)</t>
  </si>
  <si>
    <t>Валюта ДС</t>
  </si>
  <si>
    <t>Контактные данные поставщика (ФИО, email, телефон факса)</t>
  </si>
  <si>
    <t>Контактные данные покупателя (ФИО, email, телефон факса)</t>
  </si>
  <si>
    <t>Условия поставки (место, сроки)</t>
  </si>
  <si>
    <t>2.1.</t>
  </si>
  <si>
    <t>Адрес поставки, если ж/д станция: указать наименование и код станции назначения</t>
  </si>
  <si>
    <t>Грузоотправитель (указать наименование, адрес, иные реквизиты):</t>
  </si>
  <si>
    <t>Грузополучатель (указать наименование, адрес, иные реквизиты, контактное лицо, ответственное за приемку):</t>
  </si>
  <si>
    <r>
      <t>Срок поставки</t>
    </r>
    <r>
      <rPr>
        <b/>
        <sz val="10"/>
        <color rgb="FFFF0000"/>
        <rFont val="Arial Cyr"/>
        <charset val="204"/>
      </rPr>
      <t xml:space="preserve"> (если требуется, заполните 5.1-5.4 и повторно выберите срок поставки)</t>
    </r>
  </si>
  <si>
    <t>5.1.</t>
  </si>
  <si>
    <t>Внесите кол-во календарных дней с даты подписания ДС/перечисления авансового платежа</t>
  </si>
  <si>
    <t>5.2.</t>
  </si>
  <si>
    <t>Внесите конкректную дату поставки/ дату не ранее какой необходимо поставить Товар/ с какой даты можно поставлять</t>
  </si>
  <si>
    <t>5.3.</t>
  </si>
  <si>
    <t>Внесите по какую дату можно поставлять</t>
  </si>
  <si>
    <t>5.4.</t>
  </si>
  <si>
    <t>Внесите Дату не позднее которой, нужно подписать ДС обеими сторонами</t>
  </si>
  <si>
    <t>9.1.</t>
  </si>
  <si>
    <t>Датой поставки считается</t>
  </si>
  <si>
    <t>Порядок оплаты</t>
  </si>
  <si>
    <t>Порядок оплаты - валюта</t>
  </si>
  <si>
    <t>6.2.0.</t>
  </si>
  <si>
    <t>Порядок оплаты - определите базовые условия оплаты</t>
  </si>
  <si>
    <r>
      <t xml:space="preserve">БАЗОВЫЙ:
Порядок оплаты - условия оплаты </t>
    </r>
    <r>
      <rPr>
        <b/>
        <sz val="10"/>
        <color rgb="FFFF0000"/>
        <rFont val="Arial Cyr"/>
        <charset val="204"/>
      </rPr>
      <t>(если требуется, заполните 6.2.1-6.2.4 и повторно выберите порядок оплаты)</t>
    </r>
  </si>
  <si>
    <t>6.2.1.</t>
  </si>
  <si>
    <r>
      <t xml:space="preserve">Внесите кол-во календарных дней с даты подписания ДС по </t>
    </r>
    <r>
      <rPr>
        <b/>
        <i/>
        <sz val="10"/>
        <rFont val="Arial Cyr"/>
        <charset val="204"/>
      </rPr>
      <t>предоплате/частичной предоплате</t>
    </r>
  </si>
  <si>
    <t>6.2.2.</t>
  </si>
  <si>
    <r>
      <t xml:space="preserve">Внесите кол-во календарных дней с даты поставки Товара/ счета на оплату по </t>
    </r>
    <r>
      <rPr>
        <b/>
        <i/>
        <sz val="10"/>
        <rFont val="Arial Cyr"/>
        <charset val="204"/>
      </rPr>
      <t>постоплате / частичной постоплате</t>
    </r>
  </si>
  <si>
    <t>6.2.3.</t>
  </si>
  <si>
    <t>Внесите процент предоплаты, если требуется</t>
  </si>
  <si>
    <t>6.2.4.</t>
  </si>
  <si>
    <t>Автоматически рассчитывается % постоплаты</t>
  </si>
  <si>
    <r>
      <t xml:space="preserve">Порядок оплаты в исключительных случаях:
</t>
    </r>
    <r>
      <rPr>
        <b/>
        <sz val="10"/>
        <color rgb="FFFFFF00"/>
        <rFont val="Arial Cyr"/>
        <charset val="204"/>
      </rPr>
      <t>ВАЖНО!</t>
    </r>
    <r>
      <rPr>
        <b/>
        <sz val="10"/>
        <color theme="0"/>
        <rFont val="Arial Cyr"/>
        <charset val="204"/>
      </rPr>
      <t xml:space="preserve"> Если контрагент не согласен с базовыми вариантами (требует оплаты в любой день недели – не четверг), то:
1. Требуется согласование Директора ФОП предприятия для предприятий, руководителя направления для КЦ
2. Требуется согласование функции «Казначейство» (Наталья Васильева VasilievaNV@bsc.sibur.ru / Оксана Каленова KalenovaOB@sibur.ru) для внсения данных в SAP ERP.
3. Внесите данные ниже в ячейки</t>
    </r>
  </si>
  <si>
    <t>*6.2.0.</t>
  </si>
  <si>
    <t>Порядок оплаты - определите словия оплаты</t>
  </si>
  <si>
    <t>*6.2.</t>
  </si>
  <si>
    <r>
      <t xml:space="preserve">ИСКЛЮЧИТЕЛЬНЫЙ (если контрагент отказывается от БАЗОВОГО варианта):
Порядок оплаты - условия оплаты </t>
    </r>
    <r>
      <rPr>
        <b/>
        <sz val="10"/>
        <color rgb="FFFF0000"/>
        <rFont val="Arial Cyr"/>
        <charset val="204"/>
      </rPr>
      <t>(если требуется, заполните *6.2.1-*6.2.6 и повторно выберите порядок оплаты)</t>
    </r>
  </si>
  <si>
    <t>*6.2.1.</t>
  </si>
  <si>
    <t>*6.2.2.</t>
  </si>
  <si>
    <t>*6.2.3.</t>
  </si>
  <si>
    <t>Внесите дату оплаты по предоплате/частичной предоплате</t>
  </si>
  <si>
    <t>*6.2.4.</t>
  </si>
  <si>
    <t>Внесите дату оплаты по постоплате / частичной постоплате</t>
  </si>
  <si>
    <t>*6.2.5.</t>
  </si>
  <si>
    <t>*6.2.6.</t>
  </si>
  <si>
    <t>Обязательный перечень сопроводительных документов</t>
  </si>
  <si>
    <t>Поставщик обязан передать следующие документы:</t>
  </si>
  <si>
    <r>
      <t xml:space="preserve">Первичная документация </t>
    </r>
    <r>
      <rPr>
        <b/>
        <i/>
        <sz val="10"/>
        <color rgb="FFFF0000"/>
        <rFont val="Arial Cyr"/>
        <charset val="204"/>
      </rPr>
      <t>(выбрать, заполнить)</t>
    </r>
  </si>
  <si>
    <t>+</t>
  </si>
  <si>
    <t>7.1.1</t>
  </si>
  <si>
    <t>Поставщик обязан передать следующие документы: (Документ 1)</t>
  </si>
  <si>
    <t>УПД</t>
  </si>
  <si>
    <t>7.1.2</t>
  </si>
  <si>
    <t>Поставщик обязан передать следующие документы: (Документ 2)</t>
  </si>
  <si>
    <t>Товарно-транспортная накладная</t>
  </si>
  <si>
    <t>7.1.3</t>
  </si>
  <si>
    <t>Поставщик обязан передать следующие документы: (Документ 3)</t>
  </si>
  <si>
    <t>Накладная по форме ТОРГ-12, счет-фактура</t>
  </si>
  <si>
    <t>7.1.4</t>
  </si>
  <si>
    <t>Поставщик обязан передать следующие документы: (Документ 4)</t>
  </si>
  <si>
    <t>7.1.5</t>
  </si>
  <si>
    <t>Поставщик обязан передать следующие документы: (Документ 5)</t>
  </si>
  <si>
    <r>
      <t xml:space="preserve">Техническая документация </t>
    </r>
    <r>
      <rPr>
        <b/>
        <i/>
        <sz val="10"/>
        <color rgb="FFFF0000"/>
        <rFont val="Arial Cyr"/>
        <charset val="204"/>
      </rPr>
      <t>(выбрать, заполнить)</t>
    </r>
  </si>
  <si>
    <t>7.1.6</t>
  </si>
  <si>
    <t>Сертификат (паспорт) качества</t>
  </si>
  <si>
    <t>7.1.7</t>
  </si>
  <si>
    <t>7.1.8</t>
  </si>
  <si>
    <t>7.1.9</t>
  </si>
  <si>
    <t>7.1.10</t>
  </si>
  <si>
    <t>Гарантийный срок</t>
  </si>
  <si>
    <t>8.1.</t>
  </si>
  <si>
    <t>Заполняется, если необходимо внести в п.8 точное кол-во месяцев гарантии (с даты ввода в эксплуатацию)</t>
  </si>
  <si>
    <t>8.2.</t>
  </si>
  <si>
    <t>Заполняется, если необходимо внести в п.8 точное кол-во месяцев гарантии (с даты поставки)</t>
  </si>
  <si>
    <r>
      <t xml:space="preserve">Гарантия на Товар </t>
    </r>
    <r>
      <rPr>
        <b/>
        <sz val="10"/>
        <color rgb="FFFF0000"/>
        <rFont val="Arial Cyr"/>
        <charset val="204"/>
      </rPr>
      <t>(внесите в п.8.1.-8.2. кол-во месяцев и повторно выберите гарантию)</t>
    </r>
  </si>
  <si>
    <t>Отказ от Товара</t>
  </si>
  <si>
    <t>При отказе от принятия Товара</t>
  </si>
  <si>
    <t>Укажите кол-во рабочих дней для уведомления</t>
  </si>
  <si>
    <t>Обязательство на вывоз или распоряжение Товаром</t>
  </si>
  <si>
    <t>12.1.1.</t>
  </si>
  <si>
    <t>Укажите кол-во календарных дней на вывоз или распоряжение Товаром</t>
  </si>
  <si>
    <t>Параметры для расчета 3 цен</t>
  </si>
  <si>
    <r>
      <t xml:space="preserve">Требуется ли применить 3 цены? </t>
    </r>
    <r>
      <rPr>
        <b/>
        <sz val="10"/>
        <color rgb="FFFF0000"/>
        <rFont val="Arial Cyr"/>
        <charset val="204"/>
      </rPr>
      <t>(если нет, то обязательно скройте п.13.1-13.3. в ДС/Спецификации, при этом пункт 11 будет также скорректирован.)</t>
    </r>
  </si>
  <si>
    <t>да</t>
  </si>
  <si>
    <t>при поставке Товара в течение 10 (десяти) дней после требуемого срока, укажите процент снижения цены</t>
  </si>
  <si>
    <t>при поставке Товара по истечении 10 (десяти) дней после требуемого срока, укажите процент снижения цены</t>
  </si>
  <si>
    <r>
      <t xml:space="preserve">14. Специальные условия
</t>
    </r>
    <r>
      <rPr>
        <b/>
        <sz val="10"/>
        <color rgb="FFFFFF00"/>
        <rFont val="Arial Cyr"/>
        <charset val="204"/>
      </rPr>
      <t>!!! Поставьте "+" в столбце D, если необходимо вывести спецусловие в форму</t>
    </r>
  </si>
  <si>
    <r>
      <t>Специальные условия:!!!</t>
    </r>
    <r>
      <rPr>
        <i/>
        <sz val="10"/>
        <color rgb="FFFF0000"/>
        <rFont val="Arial Cyr"/>
        <charset val="204"/>
      </rPr>
      <t xml:space="preserve"> Удалить в столбце С все лишнее</t>
    </r>
  </si>
  <si>
    <t>Поставьте "+", если необходимо вывести спецусловие в форму</t>
  </si>
  <si>
    <t>14.1</t>
  </si>
  <si>
    <t>Адрес Покупателя для отправки оригинала ДС</t>
  </si>
  <si>
    <t>14.2</t>
  </si>
  <si>
    <r>
      <t xml:space="preserve">Адрес Поставщика для отправки оригинала ДС 
</t>
    </r>
    <r>
      <rPr>
        <b/>
        <sz val="10"/>
        <color rgb="FFFF0000"/>
        <rFont val="Arial Cyr"/>
        <charset val="204"/>
      </rPr>
      <t>(Укажите адрес Поставщика для отправки оригинала ДД после краткого наименования)</t>
    </r>
  </si>
  <si>
    <t>14.3</t>
  </si>
  <si>
    <r>
      <t>График изготовления и отгрузки</t>
    </r>
    <r>
      <rPr>
        <i/>
        <sz val="10"/>
        <rFont val="Arial Cyr"/>
        <charset val="204"/>
      </rPr>
      <t xml:space="preserve"> (поставьте "+" для вывода данного условия в форму)</t>
    </r>
  </si>
  <si>
    <t>В соответствии с условиями Договора Поставщик в рамках исполнения настоящего Дополнительного соглашения обязан разработать График изготовления и отгрузки Товара.</t>
  </si>
  <si>
    <t>14.4</t>
  </si>
  <si>
    <t>Требования к графику поставки</t>
  </si>
  <si>
    <t>График поставки партий Товара согласовывается Сторонами отдельно в следующем порядке: не позднее, чем за 5 (пять) дней до начала месяца поставки Грузополучатель направляет Поставщику по электронной почте, указанной в п.10 Настоящего дополнительного соглашения, график поставки, копия календарного графика поставки Грузополучателем направляется Покупателю. Поставщик в течение 5 дней с даты направления графика при наличии замечаний направляет свои корректировки к графику поставки Грузополучателю, копия календарного графика поставки Поставщиком направляется Покупателю.
В случае не направления Поставщиком замечаний к графику поставки в указанный в настоящем пункте срок, график поставки, направленный Грузополучателем, считается согласованным и обязательным к исполнению.
В случае несогласия Покупателя (Грузополучателя) с предложенными Поставщиком изменениями графика поставки Поставщик обязан исполнить календарный график поставки, направленный Грузополучателем в соответствии с настоящим пунктом дополнительного соглашения.</t>
  </si>
  <si>
    <t>14.5</t>
  </si>
  <si>
    <r>
      <t xml:space="preserve">Толеранс </t>
    </r>
    <r>
      <rPr>
        <i/>
        <sz val="10"/>
        <rFont val="Arial Cyr"/>
        <charset val="204"/>
      </rPr>
      <t xml:space="preserve">(внесите % толеранса в 14.5.1. и поставьте "+" для вывода данного условия в форму)
</t>
    </r>
    <r>
      <rPr>
        <b/>
        <sz val="10"/>
        <color rgb="FFFF0000"/>
        <rFont val="Arial Cyr"/>
        <charset val="204"/>
      </rPr>
      <t>! Не применимо, если товар в штуках</t>
    </r>
  </si>
  <si>
    <t>14.5.1.</t>
  </si>
  <si>
    <t>Укажите % толеранса</t>
  </si>
  <si>
    <t>14.6</t>
  </si>
  <si>
    <r>
      <t>Толеранс только для трубы</t>
    </r>
    <r>
      <rPr>
        <b/>
        <i/>
        <sz val="10"/>
        <color theme="1"/>
        <rFont val="Arial Cyr"/>
        <charset val="204"/>
      </rPr>
      <t xml:space="preserve"> </t>
    </r>
    <r>
      <rPr>
        <i/>
        <sz val="10"/>
        <color theme="1"/>
        <rFont val="Arial Cyr"/>
        <charset val="204"/>
      </rPr>
      <t>(поставьте "+" для вывода данного условия в форму)</t>
    </r>
  </si>
  <si>
    <t>14.7</t>
  </si>
  <si>
    <r>
      <t xml:space="preserve">Дополнительный объем - опцион
</t>
    </r>
    <r>
      <rPr>
        <i/>
        <sz val="10"/>
        <rFont val="Arial Cyr"/>
        <charset val="204"/>
      </rPr>
      <t>(внесите данные в 14.7.1.-14.7.3. и поставьте "+" для вывода данного условия в форму)</t>
    </r>
  </si>
  <si>
    <t>14.7.1</t>
  </si>
  <si>
    <t>Внесите требуемый срок поставки доп.объема</t>
  </si>
  <si>
    <t>14.7.2</t>
  </si>
  <si>
    <t xml:space="preserve">Внесите % от кол-ва, согласованного в настоящем дополнительном соглашении по каждой позиции. </t>
  </si>
  <si>
    <t>14.7.3</t>
  </si>
  <si>
    <r>
      <t xml:space="preserve">Внесите </t>
    </r>
    <r>
      <rPr>
        <b/>
        <i/>
        <sz val="10"/>
        <rFont val="Arial Cyr"/>
        <charset val="204"/>
      </rPr>
      <t>х</t>
    </r>
    <r>
      <rPr>
        <i/>
        <sz val="10"/>
        <rFont val="Arial Cyr"/>
        <charset val="204"/>
      </rPr>
      <t xml:space="preserve"> кол-во календарных дней для поставки допобъема</t>
    </r>
  </si>
  <si>
    <t>14.9</t>
  </si>
  <si>
    <r>
      <t xml:space="preserve">Входной контроль для подшипников </t>
    </r>
    <r>
      <rPr>
        <i/>
        <sz val="10"/>
        <rFont val="Arial Cyr"/>
        <charset val="204"/>
      </rPr>
      <t>(поставьте "+" для вывода данного условия в форму)</t>
    </r>
  </si>
  <si>
    <t>После поставки подшипников Поставщиком Покупатель обязуется в течение 3 (трех) дней провести проверку подшипников. Контроль осуществляется на стенде системы КОМПАКС-РПП и в соответствии с методами контроля, указанными в ГОСТ 520-2002. По результатам входного контроля подшипники, не соответствующие требованиям Покупателя, возвращаются Поставщику с приложением протоколов входного контроля. Поставщик обязуется произвести замену в течение 20 (двадцати) дней с момента уведомления о поставке некачественной продукции. Предусмотренный настоящим пунктом порядок возврата и замены распространяется лишь на некачественные подшипники, выявленные при приемке.</t>
  </si>
  <si>
    <t>14.10</t>
  </si>
  <si>
    <r>
      <rPr>
        <b/>
        <sz val="10"/>
        <rFont val="Arial Cyr"/>
        <charset val="204"/>
      </rPr>
      <t xml:space="preserve">Условия входного контроля
</t>
    </r>
    <r>
      <rPr>
        <i/>
        <sz val="10"/>
        <rFont val="Arial Cyr"/>
        <charset val="204"/>
      </rPr>
      <t>(внесите данные в 14.10.1. и поставьте "+" для вывода данного условия в форму)</t>
    </r>
  </si>
  <si>
    <t>14.10.1</t>
  </si>
  <si>
    <t>Укажите кол-во календарных дней входного контроля</t>
  </si>
  <si>
    <t>14.11</t>
  </si>
  <si>
    <t>Замена дефектного Товара</t>
  </si>
  <si>
    <t>В случае выявления несоответствия количества Товара данным, указанным в накладной, и/или несоответствия качества, комплектности Товара Поставщик в течение 7 календарных дней с даты направления Покупателем или Грузополучателем соответствующего требования посредством электронной почты (если иной срок не согласован сторонами) обязан произвести замену дефектного Товара на качественный и/или доукомплектовать (допоставить) Товар.</t>
  </si>
  <si>
    <t>14.12</t>
  </si>
  <si>
    <t>При закупке контейнеров</t>
  </si>
  <si>
    <t>Все деревянные детали должны быть обработаны антигрибковым составом, предотвращающим заплесневение.</t>
  </si>
  <si>
    <t>14.13</t>
  </si>
  <si>
    <t>При закупке тары и упаковки</t>
  </si>
  <si>
    <t>Покупатель вправе в одностороннем порядке изменить согласованное количество Товара (календарный график поставки) в сторону уменьшения в пределах 30 (Тридцати) процентов от общего количества Товара, указанного в настоящем Дополнительном соглашении, путем направления Поставщику соответствующего уведомления посредством электронной почты. Количество Товара, подлежащего поставке, считается измененным с момента направления Покупателем уведомления по электронной почте на адрес Поставщика, указанный в п. 5 дополнительного соглашения.</t>
  </si>
  <si>
    <t>14.14</t>
  </si>
  <si>
    <t>Поставщик обязан поставить Товар, маркированный в соответствии с приложением № 1 к настоящему дополнительному соглашению.</t>
  </si>
  <si>
    <t>14.15</t>
  </si>
  <si>
    <r>
      <t xml:space="preserve">Изменение ставки НДС </t>
    </r>
    <r>
      <rPr>
        <b/>
        <sz val="10"/>
        <color rgb="FFFF0000"/>
        <rFont val="Arial Cyr"/>
        <charset val="204"/>
      </rPr>
      <t>(только по требованию поставщика)</t>
    </r>
  </si>
  <si>
    <t>В случае законодательного изменения (уменьшения или увеличения) ставки НДС цена Товара изменяется (уменьшается или увеличивается) на соответствующую сумму изменения ставки НДС.</t>
  </si>
  <si>
    <t>Перечень приложений</t>
  </si>
  <si>
    <t>16.</t>
  </si>
  <si>
    <t>Перечень приложений есть?</t>
  </si>
  <si>
    <t>нет</t>
  </si>
  <si>
    <t>Скорректируйте перечень и порядок приложений к ДС</t>
  </si>
  <si>
    <t>1. Техническое описание Товара
2. График поставки Товара  (если применимо)
3. Перечень документации, предоставляемый Покупателем                                                                                                                                                                                                                                           
4. Перечень документации, предоставляемый Поставщиком
5. Гарантированные показатели Товара (если применимо)</t>
  </si>
  <si>
    <t>Данные о подписантах (Поставщик)</t>
  </si>
  <si>
    <t>17.1.</t>
  </si>
  <si>
    <t>ИНН</t>
  </si>
  <si>
    <t>17.2.</t>
  </si>
  <si>
    <t>КПП</t>
  </si>
  <si>
    <t>17.3.</t>
  </si>
  <si>
    <t>Наименование банка:</t>
  </si>
  <si>
    <t>17.4.</t>
  </si>
  <si>
    <t>р/счет</t>
  </si>
  <si>
    <t>17.5.</t>
  </si>
  <si>
    <t>БИК</t>
  </si>
  <si>
    <t>17.6.</t>
  </si>
  <si>
    <t>к/счет</t>
  </si>
  <si>
    <t>17.7.</t>
  </si>
  <si>
    <t>ОГРН</t>
  </si>
  <si>
    <t>17.8.</t>
  </si>
  <si>
    <t>ФИО подписанта со стороны Поставщика (И.О. Фамилия)</t>
  </si>
  <si>
    <t>17.8.1.</t>
  </si>
  <si>
    <t xml:space="preserve">Вид документа на основании чего подписывает </t>
  </si>
  <si>
    <t>17.8.2.</t>
  </si>
  <si>
    <t xml:space="preserve">№ Документа на основании чего подписывает </t>
  </si>
  <si>
    <t>17.8.3.</t>
  </si>
  <si>
    <t>Дата документа на основании чего подписывает</t>
  </si>
  <si>
    <t>Данные о подписантах (Покупатель)</t>
  </si>
  <si>
    <t>ФИО подписанта со стороны Покупателя (И.О. Фамилия)</t>
  </si>
  <si>
    <t>Cрок поставки</t>
  </si>
  <si>
    <t>№ Заказа на поставку</t>
  </si>
  <si>
    <t>указан в Таблице п.1 настоящего Соглашения.</t>
  </si>
  <si>
    <t>В качестве предприятий покупателя указать наменование всех предприятий покупателей из п. 1.
Убедиться, что подписант обладает полномочиями на подписание данного документа от имени всех Покупателей, указанных в п.1.</t>
  </si>
  <si>
    <t>Предприятия покупатели</t>
  </si>
  <si>
    <t>Доверенности</t>
  </si>
  <si>
    <t>Инструкция по заполнению формы ЕУФ</t>
  </si>
  <si>
    <t>№</t>
  </si>
  <si>
    <t>Действие</t>
  </si>
  <si>
    <t>Ссылка на лист</t>
  </si>
  <si>
    <t>Заполните "Форма ввода" - все поля</t>
  </si>
  <si>
    <t>Форма ввода</t>
  </si>
  <si>
    <t>Заполните табличную форму в самой форме "ДС" п.1, если требуется удалите лишние строки или добавьте необходимые, все прочие поля подтянутся из "Форма ввода"</t>
  </si>
  <si>
    <t>ДС</t>
  </si>
  <si>
    <t>Проверьте форму "ДС", если необходимо, внесите правки в "Форма ввода", все значения автоматически подтянутся в "ДС", скорректируйте высоту строк и скройте лишние строки в таблицах и в п.14 "Специальные условия"</t>
  </si>
  <si>
    <t>Код поставщика</t>
  </si>
  <si>
    <t>Краткое наименование</t>
  </si>
  <si>
    <t>Предприятия</t>
  </si>
  <si>
    <t>Код месяца</t>
  </si>
  <si>
    <t>Название месяца</t>
  </si>
  <si>
    <t>Срок поставки</t>
  </si>
  <si>
    <t>Порядок оплаты (валюта)</t>
  </si>
  <si>
    <t>Порядок оплаты: базовые условия</t>
  </si>
  <si>
    <t>Порядок оплаты: способ</t>
  </si>
  <si>
    <t>Порядок оплаты: исключения</t>
  </si>
  <si>
    <t>Порядок оплаты (исключения): способ</t>
  </si>
  <si>
    <t>Гарантия на Товар</t>
  </si>
  <si>
    <t>Гарантия</t>
  </si>
  <si>
    <t>Валюта</t>
  </si>
  <si>
    <t>Грузополучатель АО «СибурТюменьГаз»</t>
  </si>
  <si>
    <t>Грузополучатель ООО «БИАКСПЛЕН»</t>
  </si>
  <si>
    <t>Грузополучатель АО «Сибур-Нефтехим»</t>
  </si>
  <si>
    <t>Дней(число)</t>
  </si>
  <si>
    <t>Дней(текст)</t>
  </si>
  <si>
    <t>января</t>
  </si>
  <si>
    <t>(Одного)</t>
  </si>
  <si>
    <t>БИАКСПЛЕН</t>
  </si>
  <si>
    <t>ООО «БИАКСПЛЕН»</t>
  </si>
  <si>
    <t xml:space="preserve">Общество с ограниченной ответственностью «БИАКСПЛЕН» </t>
  </si>
  <si>
    <t>февраля</t>
  </si>
  <si>
    <t>Доставка до склада Покупателя (Грузополучателя), расположенного по адресу, указанному  в п.1.</t>
  </si>
  <si>
    <t>Нижегородская область, Балахнинский район, поселок Гидроторф, ул. Административная, д.17.</t>
  </si>
  <si>
    <t>в соответствии с таблицей п. 1 настоящего Дополнительного соглашения.</t>
  </si>
  <si>
    <t>в рублях по курсу ЦБ РФ на дату списания денежных средств с расчетного счета Покупателя.</t>
  </si>
  <si>
    <t>Постоплата</t>
  </si>
  <si>
    <t>Предоплата_исключение</t>
  </si>
  <si>
    <t>Постоплата_исключение</t>
  </si>
  <si>
    <t>Согласно условиям Договора.</t>
  </si>
  <si>
    <t>Дата выдачи оригинала накладной Грузополучателю, указанная на штемпеле транспортной ЖД накладной (на станции назначения)</t>
  </si>
  <si>
    <t>1 месяц</t>
  </si>
  <si>
    <t>руб.</t>
  </si>
  <si>
    <t>коп.</t>
  </si>
  <si>
    <t>АО "СибурТюменьГаз" 
628600, РФ, ХМАО-Югра, г.Нижневартовск, 13-й км Мегионской автодороги, промзонаВремя работы склада с понедельника по четверг  08:00-16:00. в Пятницу - 08:00 - 10-30 (!); суббота и воскресенье - выходной.</t>
  </si>
  <si>
    <t>ООО "БИАКСПЛЕН"
606425, Нижегородская область, Балахнинский район, поселок Гидроторф, ул. Административная, д.17, а/я 24 .</t>
  </si>
  <si>
    <t>АО "Сибур-Нефтехим"
606000, обл. Нижегородская, г. Дзержинск, 606030, Нижегородская область, г. Дзержинск, Автозаводское шоссе, д. 65.</t>
  </si>
  <si>
    <t>(Двух)</t>
  </si>
  <si>
    <t>Воронежсинтезкаучук</t>
  </si>
  <si>
    <t>АО «Воронежсинтезкаучук»</t>
  </si>
  <si>
    <t xml:space="preserve">Акционерное общество «Воронежский Синтетический Каучук» </t>
  </si>
  <si>
    <t>марта</t>
  </si>
  <si>
    <t xml:space="preserve">Железнодорожным транспортном до станции Покупателя (Грузополучателя), расположенного на станции: </t>
  </si>
  <si>
    <t>г. Воронеж, ул. Менделеева 3Б.</t>
  </si>
  <si>
    <t>в рублях по курсу ЦБ РФ на дату перехода права собственности на товар, определяемую согласно договору.</t>
  </si>
  <si>
    <t>Предоплата</t>
  </si>
  <si>
    <t>Дата получения Товара Покупателем (Грузополучателем) на складе Покупателя (Грузополучателя) (п.2), указанная в Транспортном документе.</t>
  </si>
  <si>
    <t>2 месяца</t>
  </si>
  <si>
    <t>долл.США</t>
  </si>
  <si>
    <t>цент.</t>
  </si>
  <si>
    <t>"Вынгапуровский газоперерабатывающий завод" -Филиал Акционерного общества"СибурТюменьГаз".
629850, РФ, ЯНАО, Пуровский район, Вынгапуровское месторождение, 91-й км Вынгапуровского шоссе
Время работы склада с понедельника по четверг  08:00-16:00. в Пятницу - 08:00 - 10-30 (!); суббота и воскресенье - выходной.</t>
  </si>
  <si>
    <t>ООО "БИАКСПЛЕН Т"
г. Томск, Кузовлевский тракт, д. 2, стр. 396.</t>
  </si>
  <si>
    <t>ООО "СИБУР-Кстово"
607650, Нижегородская область, Кстовский район, город Кстово, пр. 4-й (Промышленный р-н), дом №2</t>
  </si>
  <si>
    <t>(Трех)</t>
  </si>
  <si>
    <t>ЗапСибНефтехим</t>
  </si>
  <si>
    <t>ООО «ЗапСибНефтехим»</t>
  </si>
  <si>
    <t xml:space="preserve">Общество с ограниченной ответственностью «Западно-Сибирский Нефтехимический комбинат» </t>
  </si>
  <si>
    <t>апреля</t>
  </si>
  <si>
    <t xml:space="preserve">Выборка со склада Поставщика, расположенного по адресу: </t>
  </si>
  <si>
    <t>Тюменская область, г. Тобольск, Промзона.</t>
  </si>
  <si>
    <t>в рублях по курсу ЦБ РФ на дату отгрузки товара Поставщиком, которая определяется соответствующей отметкой в Транспортном документе.</t>
  </si>
  <si>
    <t>Частичнаяпредоплата</t>
  </si>
  <si>
    <t>Частичнаяпредоплата_исключение</t>
  </si>
  <si>
    <t>Дата передачи Товара Покупателю (грузополучателю) на складе Поставщика (грузоотправителя) (п.2), указанная  в Транспортном документе.</t>
  </si>
  <si>
    <t>3 месяца</t>
  </si>
  <si>
    <t>фунт.</t>
  </si>
  <si>
    <t>пенни</t>
  </si>
  <si>
    <t>"Губкинский газоперерабатывающий завод" - Филиал Акционерного общества"СибурТюменьГаз"
629830, РФ, ЯНАО, г.Губкинский, промзона.
Время работы склада с понедельника по четверг  08:00-16:00. в Пятницу - 08:00 - 10-30 (!); суббота и воскресенье - выходной.</t>
  </si>
  <si>
    <t>Железнодорожненский филиал ООО "БИАКСПЛЕН"
143985, г. Балашиха Московской области, микрорайон «Саввино" ул. Промышленная, д.35.</t>
  </si>
  <si>
    <t>ООО "СИБУР-Кстово"
607650, обл. Нижегородская, г. Кстово, 3.0 км южнее г. Кстово.</t>
  </si>
  <si>
    <t>(Четырех)</t>
  </si>
  <si>
    <t>Запсибтрансгаз</t>
  </si>
  <si>
    <t>ООО «Запсибтрансгаз»</t>
  </si>
  <si>
    <t xml:space="preserve">Общество с ограниченной ответственностью «Запсибтрансгаз» </t>
  </si>
  <si>
    <t>мая</t>
  </si>
  <si>
    <r>
      <t xml:space="preserve">Поставка почтовым отправлением </t>
    </r>
    <r>
      <rPr>
        <sz val="9"/>
        <rFont val="Arial"/>
        <family val="2"/>
        <charset val="204"/>
      </rPr>
      <t xml:space="preserve">с получением Товара по адресу: </t>
    </r>
  </si>
  <si>
    <t>ХМАО-Югра, г.Нижневартовск, 13-й км Мегионской автодороги, промзона.</t>
  </si>
  <si>
    <t>Предоплата_c_БГ</t>
  </si>
  <si>
    <t>Дата получения Товара у оператора почтовой связи.</t>
  </si>
  <si>
    <t>4 месяца</t>
  </si>
  <si>
    <t>евро</t>
  </si>
  <si>
    <t>евроцент.</t>
  </si>
  <si>
    <t xml:space="preserve">"Муравленковский газоперерабатывающий завод" - Филиал Акционерного общества"СибурТюменьГаз"
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</si>
  <si>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Курский филиал ООО "БИАКСПЛЕН"
305045, РФ, г. Курск, ул. Объездная, д. 10.</t>
  </si>
  <si>
    <t>АО "Сибур-Нефтехим"
606000, обл. Нижегородская, г. Дзержинск, Восточная промышленная зона, Автозаводское шоссе, д. 65, к. 3.</t>
  </si>
  <si>
    <t>(Пяти)</t>
  </si>
  <si>
    <t>КОС</t>
  </si>
  <si>
    <t>ПАО «Казаньоргсинтез»</t>
  </si>
  <si>
    <t>Казанское публичное акционерное общество «Органический синтез»</t>
  </si>
  <si>
    <t>июня</t>
  </si>
  <si>
    <t>г. Казань, Беломорская ул., д.101.</t>
  </si>
  <si>
    <t>Частичнаяпредоплата_с_БГ</t>
  </si>
  <si>
    <t>5 месяцев</t>
  </si>
  <si>
    <t>франк.</t>
  </si>
  <si>
    <t>сант.</t>
  </si>
  <si>
    <t>"Южно-Балыкский газоперерабатывающий завод" - Филиал Акционерного общества"СибурТюменьГаз"
628387, ХМАО-Югра, г.Пыть-Ях, микрорайон №7, дом 7/А. 
Время работы склада с понедельника по четверг  08:00-16:00. в Пятницу - 08:00 - 10-30 (!); суббота и воскресенье - выходной.</t>
  </si>
  <si>
    <t>Новокуйбышевский филиал ООО "БИАКСПЛЕН"
446201, РФ, Самарская область, городской округ Новокуйбышевск,  г. Новокуйбышевск, проезд Железнодорожный, д. 1.</t>
  </si>
  <si>
    <t>АО СИБУР-Нефтехим
606000, обл. Нижегородская, г. Дзержинск, Восточная промзона к. 390.</t>
  </si>
  <si>
    <t>(Шести)</t>
  </si>
  <si>
    <t>КЗСК</t>
  </si>
  <si>
    <t>АО «КЗСК»</t>
  </si>
  <si>
    <t>Акционерное общество «Красноярский завод синтетического каучука»</t>
  </si>
  <si>
    <t>июля</t>
  </si>
  <si>
    <t>г. Красноярск, пер. Каучуковый, д. 6.</t>
  </si>
  <si>
    <t>6 месяцев</t>
  </si>
  <si>
    <t>юан.</t>
  </si>
  <si>
    <t>цзяо</t>
  </si>
  <si>
    <t>"Вынгапуровский ГПЗ" филиал ОАО "СибурТюменьГаз"
629850, а/о Ямало-Ненецкий, Пуровский р-н, м-ние Вынгапуровское.</t>
  </si>
  <si>
    <t>Томский филиал ООО "БИАКСПЛЕН"
634067, обл. Томская, г. Томск, тракт Кузовлевский, д. 2, стр. 369.</t>
  </si>
  <si>
    <t>ООО СИБУР-Кстово
607650, обл. Нижегородская, г. Кстово, 3.0 км южнее г. Кстово.</t>
  </si>
  <si>
    <t>(Семи)</t>
  </si>
  <si>
    <t>КЦО СИБУР-Юг</t>
  </si>
  <si>
    <t>ООО «КЦО СИБУР-Юг»</t>
  </si>
  <si>
    <t xml:space="preserve">Общество с ограниченной ответственностью «Корпоративный центр Оздоровления СИБУР-Юг» </t>
  </si>
  <si>
    <t>августа</t>
  </si>
  <si>
    <t>Краснодарский край, Анапский р-он, г. Анапа, Пионерский проспект, д. 255.</t>
  </si>
  <si>
    <t>согласно графику, являющемуся Приложением №1 к настоящему Дополнительному соглашению.</t>
  </si>
  <si>
    <t>7 месяцев</t>
  </si>
  <si>
    <t>иен.</t>
  </si>
  <si>
    <t>сен.</t>
  </si>
  <si>
    <t>"Губкинский ГПЗ" филиал ОАО "СибурТюменьГаз"
629830, а/о Ямало-Ненецкий, г. Губкинский, промзона.</t>
  </si>
  <si>
    <t>ООО "БИАКСПЛЕН"
606425, Нижегородская область, Балахнинский р-н, пос. Гидроторф, ул. Административная, 17.</t>
  </si>
  <si>
    <t>ООО Сибур-Кстово (Кстово)
607650, обл. Нижегородская, г. Кстово, 3.0 км южнее г. Кстово.</t>
  </si>
  <si>
    <t>(Восеми)</t>
  </si>
  <si>
    <t>Нижнекамскнефтехим</t>
  </si>
  <si>
    <t>ПАО "Нижнекамскнефтехим"</t>
  </si>
  <si>
    <t>Публичное Акционерное Общество «Нижнекамскнефтехим»</t>
  </si>
  <si>
    <t>сентября</t>
  </si>
  <si>
    <t>Республика Татарстан, Нижнекамский р-н, г. Нижнекамск, ул. Соболевская, здание 23.</t>
  </si>
  <si>
    <t>8 месяцев</t>
  </si>
  <si>
    <t>"Муравленковский ГПЗ" филиал ОАО "СибурТюменьГаз"
629850, а/о Ямало-Ненецкий, Пуровский р-н, м-ние Суторминское.</t>
  </si>
  <si>
    <t>ООО Биаксплен Балахна
606425, Нижегородская область, Балахнинский р-н, пос. Гидроторф, ул. Административная, 17.</t>
  </si>
  <si>
    <t>OAO СИБУР-Нефтехим (Дзержинск)
606000, обл. Нижегородская, г. Дзержинск, Восточная Промышленная Зона д.</t>
  </si>
  <si>
    <t>(Девяти)</t>
  </si>
  <si>
    <t>НИПИгазпереработка</t>
  </si>
  <si>
    <t>АО «НИПИгаз»</t>
  </si>
  <si>
    <t>Акционерное общество «НИПИгазпереработка»</t>
  </si>
  <si>
    <t>октября</t>
  </si>
  <si>
    <t>г. Томск, Кузовлевский тракт, д. 2, стр. 270.</t>
  </si>
  <si>
    <t>9 месяцев</t>
  </si>
  <si>
    <t>"Южно-Балыкский ГПЗ" филиал ОАО "СибурТюменьГаз"
628387, а/о Ханты-Мансийский Автономный округ - Югра, г. Пыть-Ях, микрорайон №7, д. 7А.</t>
  </si>
  <si>
    <t>ООО Биаксплен Томск
634067, обл. Томская, Томск, тр Кузовлевский 2, 396.</t>
  </si>
  <si>
    <t>(Десяти)</t>
  </si>
  <si>
    <t>ПОЛИЭФ</t>
  </si>
  <si>
    <t>АО «ПОЛИЭФ»</t>
  </si>
  <si>
    <t>Акционерное общество «ПОЛИЭФ»</t>
  </si>
  <si>
    <t>ноября</t>
  </si>
  <si>
    <t>г. Краснодар, ул. Красная.</t>
  </si>
  <si>
    <t>10 месяцев</t>
  </si>
  <si>
    <t xml:space="preserve">"Вынгапуровский газоперерабатывающий завод" -Филиал Акционерного общества"СибурТюменьГаз"
629850, РФ, ЯНАО, Пуровский район, Вынгапуровское месторождение, 49 км трассы Вынгапур-Ханымей, Вынгапуровский ГПЗ, Вынгаяхинский компрессорный цех. 
Требуется заявка на пропуск через пост Газпромнефть-ННГ  за 3 р/дня до поставки. Время работы склада: пн-чт до 17:00, пт до 11:00
</t>
  </si>
  <si>
    <t>Биаксплен Балахна
606425, Нижегородская область, Балахнинский р-н, пос. Гидроторф, ул. Административная, 17.</t>
  </si>
  <si>
    <t>(Одиннадцати)</t>
  </si>
  <si>
    <t>ПОРТЭНЕРГО</t>
  </si>
  <si>
    <t>ООО "ПОРТЭНЕРГО"</t>
  </si>
  <si>
    <t>Общество с ограниченной ответственностью «ПОРТЭНЕРГО»</t>
  </si>
  <si>
    <t>декабря</t>
  </si>
  <si>
    <t>Республика Башкортостан, г. Благовещенск, ул. Социалистическая, д. 71.</t>
  </si>
  <si>
    <t>11 месяцев</t>
  </si>
  <si>
    <t xml:space="preserve">"Муравленковский газоперерабатывающий завод" - Филиал Акционерного общества"СибурТюменьГаз"
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</si>
  <si>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ООО «БИАКСПЛЕН"
606425, РФ, Нижегородская обл., Балахнинский район, п. Гидроторф, ул. Административная, д. 17.</t>
  </si>
  <si>
    <t>(Двенадцати)</t>
  </si>
  <si>
    <t>СИБУР</t>
  </si>
  <si>
    <t>ООО «СИБУР»</t>
  </si>
  <si>
    <t xml:space="preserve">Общество с ограниченной ответственностью «СИБУР» </t>
  </si>
  <si>
    <t>12 месяцев</t>
  </si>
  <si>
    <t>филиал СТГ Вынгапуровский ГПЗ
629850, а/о Ямало-Ненецкий, Ноябрьск, Вынгапуровское месторождение.</t>
  </si>
  <si>
    <t>Новокуйбышевский филиал ООО «БИАКСПЛЕН"
РФ,  446201, Самарская область, г.о. Новокуйбышевск , г. Новокуйбышевск , Железнодорожный проезд,  д.1.</t>
  </si>
  <si>
    <t>(Тринадцати)</t>
  </si>
  <si>
    <t>СИБУР Диджитал</t>
  </si>
  <si>
    <t>ООО "СИБУР Диджитал"</t>
  </si>
  <si>
    <t>Общество с ограниченной ответственностью «СИБУР Диджитал»</t>
  </si>
  <si>
    <t>13 месяцев</t>
  </si>
  <si>
    <t>филиал СТГ Губкинский ГПЗ
629830, а/о Ямало-Ненецкий, Губкинский, Промзона.</t>
  </si>
  <si>
    <t>Курский филиал ООО «БИАКСПЛЕН"
РФ, 305045,  г.Курск, ул. Объездная, д. 10.</t>
  </si>
  <si>
    <t>(Четырнадцати)</t>
  </si>
  <si>
    <t>СИБУР КОННЕКТ</t>
  </si>
  <si>
    <t>ООО «СИБУР КОННЕКТ»</t>
  </si>
  <si>
    <t>Общество с ограниченной ответственностью «СИБУР КОННЕКТ»</t>
  </si>
  <si>
    <t>г. Томск, Кузовлевский тракт, д. 2, стр. 238.</t>
  </si>
  <si>
    <t>14 месяцев</t>
  </si>
  <si>
    <t>филиал СТГ Муравленковский ГПЗ
629602, а/о Ямало-Ненецкий, Муравленко, Суторминское месторождение.</t>
  </si>
  <si>
    <t>Железнодорожненский филиал ООО «БИАКСПЛЕН"
143985, г. Балашиха Московской области, микрорайон «Саввино" ул. Промышленная, д. 35.</t>
  </si>
  <si>
    <t>(Пятнадцати)</t>
  </si>
  <si>
    <t>НИПИГАЗ-Актив</t>
  </si>
  <si>
    <t>ООО «НИПИГАЗ-Актив»</t>
  </si>
  <si>
    <t>Общество с ограниченной ответственностью «НИПИГАЗ-Актив»</t>
  </si>
  <si>
    <t>15 месяцев</t>
  </si>
  <si>
    <t>филиал СТГ Южно-Балыкский ГПЗ
628387, а/о Ханты-Мансийский Автономный округ - Югра, Пыть-Ях, Микрорайон №7 7/а.</t>
  </si>
  <si>
    <t>(Шестнадцати)</t>
  </si>
  <si>
    <t>СИБУР ПОЛИЛАБ</t>
  </si>
  <si>
    <t>ООО "СИБУР ПОЛИЛАБ"</t>
  </si>
  <si>
    <t>Общество с ограниченной ответственностью «СИБУР ПОЛИЛАБ»</t>
  </si>
  <si>
    <t>16 месяцев</t>
  </si>
  <si>
    <t>филиал СТГ Белозерный ГПЗ
628600, а/о Ханты-Мансийский Автономный округ - Югра, Нижневартовский р-н, 62 км  автодороги Нижневартовск</t>
  </si>
  <si>
    <t>(Семнадцати)</t>
  </si>
  <si>
    <t>СИБУР Холдинг</t>
  </si>
  <si>
    <t>ПАО «СИБУР Холдинг»</t>
  </si>
  <si>
    <t xml:space="preserve">Публичное акционерное общество «СИБУР Холдинг» </t>
  </si>
  <si>
    <t>г. Москва, тер. Сколково Инновационного Центра, б-р Большой, д. 2.</t>
  </si>
  <si>
    <t>17 месяцев</t>
  </si>
  <si>
    <t>филиал СТГ Нижневартовский ГПЗ
628616, а/о Ханты-Мансийский Автономный округ - Югра, Нижневартовск, Район НВ ГПЗ</t>
  </si>
  <si>
    <t>(Восемнадцати)</t>
  </si>
  <si>
    <t>СИБУР-Кстово</t>
  </si>
  <si>
    <t>ООО «СИБУР-Кстово»</t>
  </si>
  <si>
    <t>Общество с ограниченной ответственностью «СИБУР-Кстово»</t>
  </si>
  <si>
    <t>18 месяцев</t>
  </si>
  <si>
    <t>филиал СТГ Няганьгазпереработка
628181, а/о Ханты-Мансийский Автономный округ - Югра, г. Нягань, 29 км а/д Нягань-Талинка.</t>
  </si>
  <si>
    <t>(Девятнадцати)</t>
  </si>
  <si>
    <t>Сибур-Нефтехим</t>
  </si>
  <si>
    <t>АО «Сибур-Нефтехим»</t>
  </si>
  <si>
    <t>Акционерное общество «Сибур-Нефтехим»</t>
  </si>
  <si>
    <t>Нижегородская область, г. Кстово, пр. 4-й (Промышленный р-н), дом № 2.</t>
  </si>
  <si>
    <t>19 месяцев</t>
  </si>
  <si>
    <t>филиал СТГ РЦ ОП СибурТюменьГаз
628616, а/о Ханты-Мансийский Автономный округ - Югра, Нижневартовск, 13 км Мегионской дороги, промзона.</t>
  </si>
  <si>
    <t>(Двадцати)</t>
  </si>
  <si>
    <t>Сибур-ПЭТФ</t>
  </si>
  <si>
    <t>АО «Сибур-ПЭТФ»</t>
  </si>
  <si>
    <t>Акционерное общество «Сибур-ПЭТФ»</t>
  </si>
  <si>
    <t>Нижегородская область, г. Дзержинск, Автозаводское шоссе, д. 65.</t>
  </si>
  <si>
    <t>20 месяцев</t>
  </si>
  <si>
    <t>(Двадцати одного)</t>
  </si>
  <si>
    <t>СИБУР-РТ</t>
  </si>
  <si>
    <t>АО «СИБУР-РТ»</t>
  </si>
  <si>
    <t>Акционерное общество «СИБУР-РТ»</t>
  </si>
  <si>
    <t>г.Тверь, Московское шоссе, д.20Х.</t>
  </si>
  <si>
    <t>21 месяц</t>
  </si>
  <si>
    <t>(Двадцати двух)</t>
  </si>
  <si>
    <t>СибурТюменьГаз</t>
  </si>
  <si>
    <t>АО «СибурТюменьГаз»</t>
  </si>
  <si>
    <t>Акционерное общество «СибурТюменьГаз»</t>
  </si>
  <si>
    <t>22 месяца</t>
  </si>
  <si>
    <t>(Двадцати трех)</t>
  </si>
  <si>
    <t>Сибур-Химпром</t>
  </si>
  <si>
    <t>АО «Сибур-Химпром»</t>
  </si>
  <si>
    <t>Акционерное общество «Сибур-Химпром»</t>
  </si>
  <si>
    <t>Ленинградская обл., р-н Кингисеппский, пос. Усть-Лужское, южный район морского порта Усть-Луга, квартал 4.3, д. 1.</t>
  </si>
  <si>
    <t>23 месяца</t>
  </si>
  <si>
    <t>(Двадцати четырех)</t>
  </si>
  <si>
    <t>СИБУР-ЦСПО</t>
  </si>
  <si>
    <t>ООО «СИБУР-ЦСПО»</t>
  </si>
  <si>
    <t>Общество с ограниченной ответственностью «СИБУР ЦЕНТР СИНТЕЗА ПОЛИОЛЕФИНОВ»</t>
  </si>
  <si>
    <t>24 месяца</t>
  </si>
  <si>
    <t>(Двадцати пяти)</t>
  </si>
  <si>
    <t>Сибурэнергоменеджмент</t>
  </si>
  <si>
    <t>АО «Сибурэнергоменеджмент»</t>
  </si>
  <si>
    <t>Акционерное общество «Сибурэнергоменеджмент»</t>
  </si>
  <si>
    <t>25 месяцев</t>
  </si>
  <si>
    <t>(Двадцати шести)</t>
  </si>
  <si>
    <t>СНХК</t>
  </si>
  <si>
    <t>ООО «СНХК»</t>
  </si>
  <si>
    <t>Общество с ограниченной ответственностью «Салаватский Нефтехимический Комплекс»</t>
  </si>
  <si>
    <t>г. Нижний Новгород, Мотальный переулок, 8 - Бугров Бизнес Парк, корпус А.</t>
  </si>
  <si>
    <t>26 месяцев</t>
  </si>
  <si>
    <t>(Двадцати семи)</t>
  </si>
  <si>
    <t>СпецТрансОператор</t>
  </si>
  <si>
    <t>АО «СпецТрансОператор»</t>
  </si>
  <si>
    <t>Акционерное общество «СпецТрансОператор»</t>
  </si>
  <si>
    <t>Республика Башкортостан, г. Салават, Молодогвардейцев 30.</t>
  </si>
  <si>
    <t>27 месяцев</t>
  </si>
  <si>
    <t>(Двадцати восеми)</t>
  </si>
  <si>
    <t>Томскнефтехим</t>
  </si>
  <si>
    <t>ООО «Томскнефтехим»</t>
  </si>
  <si>
    <t>Общество с ограниченной ответственностью «Томскнефтехим»</t>
  </si>
  <si>
    <t>28 месяцев</t>
  </si>
  <si>
    <t>(Двадцати девяти)</t>
  </si>
  <si>
    <t>УК Портэнерго</t>
  </si>
  <si>
    <t>ООО «УК Портэнерго»</t>
  </si>
  <si>
    <t>Общество с ограниченной ответственностью «Управляющая Компания Портэнерго»</t>
  </si>
  <si>
    <t>г. Томск, Кузовлевский тракт, д. 2, стр.202.</t>
  </si>
  <si>
    <t>29 месяцев</t>
  </si>
  <si>
    <t>(Тридцати)</t>
  </si>
  <si>
    <t>УЭТП-НКНХ</t>
  </si>
  <si>
    <t>ООО «УЭТП-НКНХ»</t>
  </si>
  <si>
    <t>Общество с ограниченной ответственностью «Управление этиленопроводов-Нижнекамскнефтехим»</t>
  </si>
  <si>
    <t>Ленинградская обл., Кингисеппский р-н, Усть-Лужское пос., южный район морского порта Усть-Луга, квартал 4.3, д. 1.</t>
  </si>
  <si>
    <t>30 месяцев</t>
  </si>
  <si>
    <t>(Тридцати одного)</t>
  </si>
  <si>
    <t>ФК Нефтехимик</t>
  </si>
  <si>
    <t>ООО «ФК «Нефтехимик»»</t>
  </si>
  <si>
    <t>Общество с ограниченной ответственностью «Футбольный клуб «Нефтехимик»»</t>
  </si>
  <si>
    <t>31 месяц</t>
  </si>
  <si>
    <t>(Тридцати двух)</t>
  </si>
  <si>
    <t>ХК Нефтехимик</t>
  </si>
  <si>
    <t>ООО «ХК «Нефтехимик»»</t>
  </si>
  <si>
    <t>Общество с ограниченной ответственностью «Хоккейный клуб «Нефтехимик»»</t>
  </si>
  <si>
    <t>32 месяца</t>
  </si>
  <si>
    <t>(Тридцати трех)</t>
  </si>
  <si>
    <t>ТСНХРС</t>
  </si>
  <si>
    <t>ООО трест «ТСНХРС»</t>
  </si>
  <si>
    <t>Общество с ограниченной ответственностью трест «Татспецнефтехимремстрой»</t>
  </si>
  <si>
    <t>33 месяца</t>
  </si>
  <si>
    <t>(Тридцати четырех)</t>
  </si>
  <si>
    <t>СОВ-НКНХ</t>
  </si>
  <si>
    <t>АО «СОВ-НКНХ»</t>
  </si>
  <si>
    <t>Акционерное общество "Станция очистки воды - Нижнекамскнефтехим</t>
  </si>
  <si>
    <t>34 месяца</t>
  </si>
  <si>
    <t>(Тридцати пяти)</t>
  </si>
  <si>
    <t>УСК Нефтехимик</t>
  </si>
  <si>
    <t>УСК «Нефтехимик» ПАО «НКНХ»</t>
  </si>
  <si>
    <t>Учреждение спортивный клуб «Нефтехимик» ПАО «Нижнекамскнефтехим»</t>
  </si>
  <si>
    <t>35 месяцев</t>
  </si>
  <si>
    <t>(Тридцати шести)</t>
  </si>
  <si>
    <t>КР-НКНХ</t>
  </si>
  <si>
    <t>ООО «КР-НКНХ»</t>
  </si>
  <si>
    <t>Общество с ограниченной ответственностью «Корабельная роща - Нижнекамскнефтехим»</t>
  </si>
  <si>
    <t>36 месяцев</t>
  </si>
  <si>
    <t>(Тридцати семи)</t>
  </si>
  <si>
    <t>Транскама</t>
  </si>
  <si>
    <t>НАО «Транскама»</t>
  </si>
  <si>
    <t>Непубличное акционерное общество "Транскама"</t>
  </si>
  <si>
    <t>37 месяцев</t>
  </si>
  <si>
    <t>(Тридцати восеми)</t>
  </si>
  <si>
    <t>РусВинил</t>
  </si>
  <si>
    <t>ООО «РусВинил»</t>
  </si>
  <si>
    <t xml:space="preserve">Общество с ограниченной ответственностью «РусВинил»   </t>
  </si>
  <si>
    <t>38 месяцев</t>
  </si>
  <si>
    <t>(Тридцати девяти)</t>
  </si>
  <si>
    <t>СИБУР Инновации</t>
  </si>
  <si>
    <t>ООО «СИБУР Инновации»</t>
  </si>
  <si>
    <t>Общество с ограниченной ответственностью «СИБУР Инновации»</t>
  </si>
  <si>
    <t>Нижегородская область, Кстовский район, г. Кстово, мкр. Западный, квартал РусВинил</t>
  </si>
  <si>
    <t>39 месяцев</t>
  </si>
  <si>
    <t>(Сорока)</t>
  </si>
  <si>
    <t>АГХК</t>
  </si>
  <si>
    <t>ООО "АМУРСКИЙ ГХК"</t>
  </si>
  <si>
    <t>Общество с ограниченной ответственностью «АМУРСКИЙ ГАЗОХИМИЧЕСКИЙ КОМПЛЕКС»</t>
  </si>
  <si>
    <t>117218, г. Москва, ул. Кржижановского, д. 6, к.3</t>
  </si>
  <si>
    <t>40 месяцев</t>
  </si>
  <si>
    <t>(Сорока одного)</t>
  </si>
  <si>
    <t>Белозерный ГПЗ</t>
  </si>
  <si>
    <t xml:space="preserve"> Филиал Акционерного общества"СибурТюменьГаз"-«Белозерный газоперерабатывающий завод»</t>
  </si>
  <si>
    <t>ХМАО-Югра, Нижневартовский район, 62-й км автодороги Нижневартовск-Радужный.
Время работы склада с понедельника по четверг  08:00-16:00. в Пятницу - 08:00 - 10-30 (!); суббота и воскресенье - выходной.</t>
  </si>
  <si>
    <t>41 месяц</t>
  </si>
  <si>
    <t>(Сорока двух)</t>
  </si>
  <si>
    <t>Белозерный ГПК</t>
  </si>
  <si>
    <t>ООО «Белозерный ГПК»</t>
  </si>
  <si>
    <t>Общество с ограниченной ответственностью «Белозерный Газоперерабатывающий Комплекс»</t>
  </si>
  <si>
    <t>Ханты-Мансийский Автономный округ - Югра, г. Нижневартовск, ул. Омская, д. 1.</t>
  </si>
  <si>
    <t>42 месяца</t>
  </si>
  <si>
    <t>(Сорока трех)</t>
  </si>
  <si>
    <t xml:space="preserve">БИАКСПЛЕН, Курск
</t>
  </si>
  <si>
    <t>Курский филиал ООО «БИАКСПЛЕН»</t>
  </si>
  <si>
    <t>Общество с ограниченной ответственностью «БИАКСПЛЕН» Курский филиал</t>
  </si>
  <si>
    <t>г. Курск, ул. Объездная, д. 10.</t>
  </si>
  <si>
    <t>43 месяца</t>
  </si>
  <si>
    <t>(Сорока четырех)</t>
  </si>
  <si>
    <t>БИАКСПЛЕН, Железнодорожный</t>
  </si>
  <si>
    <t>Железнодорожненский филиал ООО «БИАКСПЛЕН»</t>
  </si>
  <si>
    <t>Общество с ограниченной ответственностью «БИАКСПЛЕН» Железнодорожненский филиал</t>
  </si>
  <si>
    <t>Московская облать, г. Балашиха, микрорайон «Саввино" ул. Промышленная, д.35.</t>
  </si>
  <si>
    <t>44 месяца</t>
  </si>
  <si>
    <t>(Сорока пяти)</t>
  </si>
  <si>
    <t>БИАКСПЛЕН, Новокуйбышевск</t>
  </si>
  <si>
    <t>Новокуйбышевский филиал ООО «БИАКСПЛЕН»</t>
  </si>
  <si>
    <t>Общество с ограниченной ответственностью «БИАКСПЛЕН» Новокуйбышевский филиал</t>
  </si>
  <si>
    <t>Самарская область, городской округ Новокуйбышевск,  г. Новокуйбышевск, проезд Железнодорожный, д. 1.</t>
  </si>
  <si>
    <t>45 месяцев</t>
  </si>
  <si>
    <t>(Сорока шести)</t>
  </si>
  <si>
    <t>Вынгапуровский ГПЗ</t>
  </si>
  <si>
    <t>"Вынгапуровский газоперерабатывающий завод" - Филиал Акционерного общества «СибурТюменьГаз»</t>
  </si>
  <si>
    <t xml:space="preserve"> ЯНАО, Пуровский район, Вынгапуровское месторождение, 91-й км Вынгапуровского шоссе.
Время работы склада с понедельника по четверг  08:00-16:00. в Пятницу - 08:00 - 10-30 (!); суббота и воскресенье - выходной.</t>
  </si>
  <si>
    <t>46 месяцев</t>
  </si>
  <si>
    <t>(Сорока семи)</t>
  </si>
  <si>
    <t>Губкинский  ГПЗ</t>
  </si>
  <si>
    <t>"Губкинский газоперерабатывающий завод" - Филиал Акционерного общества «СибурТюменьГаз»</t>
  </si>
  <si>
    <t>629830, РФ, ЯНАО, г.Губкинский, промзона.
Время работы склада с понедельника по четверг  08:00-16:00. в Пятницу - 08:00 - 10-30 (!); суббота и воскресенье - выходной.</t>
  </si>
  <si>
    <t>47 месяцев</t>
  </si>
  <si>
    <t>(Сорока восеми)</t>
  </si>
  <si>
    <t>ИТ-Сервис</t>
  </si>
  <si>
    <t>ООО «ИТ-Сервис»</t>
  </si>
  <si>
    <t xml:space="preserve">Общество с ограниченной ответственностью «ИТ-Сервис» </t>
  </si>
  <si>
    <t>48 месяцев</t>
  </si>
  <si>
    <t>(Сорока девяти)</t>
  </si>
  <si>
    <t xml:space="preserve">Лахтинские газопроводы </t>
  </si>
  <si>
    <t>ООО «Лахтинские газопроводы »</t>
  </si>
  <si>
    <t>Общество с ограниченной ответственностью «Лахтинские газопроводы»</t>
  </si>
  <si>
    <t>49 месяцев</t>
  </si>
  <si>
    <t>(Пятидесяти)</t>
  </si>
  <si>
    <t>Муравленковский ГПЗ</t>
  </si>
  <si>
    <t>"Муравленковский газоперерабатывающий завод" - Филиал Акционерного общества «СибурТюменьГаз»</t>
  </si>
  <si>
    <t xml:space="preserve">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</si>
  <si>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50 месяцев</t>
  </si>
  <si>
    <t>(Пятидесяти одного)</t>
  </si>
  <si>
    <t>Нижневартовский ГПЗ</t>
  </si>
  <si>
    <t>Филиал Акционерного общества «СибурТюменьГаз» -"Нижневартовский газоперерабатывающий завод"</t>
  </si>
  <si>
    <t>628606, РФ, ХМАО-Югра, г.Нижневартовск
Время работы склада с понедельника по четверг  08:00-16:00. в Пятницу - 08:00 - 10-30 (!); суббота и воскресенье - выходной.</t>
  </si>
  <si>
    <t>51 месяц</t>
  </si>
  <si>
    <t>(Пятидесяти двух)</t>
  </si>
  <si>
    <t>НПП Нефтехимия</t>
  </si>
  <si>
    <t>ООО «НПП Нефтехимия»</t>
  </si>
  <si>
    <t xml:space="preserve">Общество с ограниченной ответственностью «Научно-Производственное Предприятие Нефтехимия» </t>
  </si>
  <si>
    <t>109429, г. Москва, г. Москва, Капотня 2-й квартал 1-36</t>
  </si>
  <si>
    <t>52 месяца</t>
  </si>
  <si>
    <t>(Пятидесяти трех)</t>
  </si>
  <si>
    <t>Няганьгазпереработка</t>
  </si>
  <si>
    <t>Филиал Акционерного общества «СибурТюменьГаз» - «Няганьгазпереработка»</t>
  </si>
  <si>
    <t>628183, а/о Ханты-Мансийский Автономный округ - Югра, г. Нягань, 29 км а/д Нягань-Талинка, стр. 39</t>
  </si>
  <si>
    <t>53 месяца</t>
  </si>
  <si>
    <t>(Пятидесяти четырех)</t>
  </si>
  <si>
    <t>Пластик-Геосинтетика</t>
  </si>
  <si>
    <t>ООО «Пластик-Геосинтетика»</t>
  </si>
  <si>
    <t xml:space="preserve">Общество с ограниченной ответственностью «Пластик-Геосинтетика» </t>
  </si>
  <si>
    <t>54 месяца</t>
  </si>
  <si>
    <t>(Пятидесяти пяти)</t>
  </si>
  <si>
    <t>Полиом</t>
  </si>
  <si>
    <t>ООО «Полиом»</t>
  </si>
  <si>
    <t xml:space="preserve">Общество с ограниченной ответственностью «Омский Завод Полипропилена» </t>
  </si>
  <si>
    <t>644035, обл. Омская, г. Омск, тракт Красноярский стр. 137</t>
  </si>
  <si>
    <t>55 месяцев</t>
  </si>
  <si>
    <t>(Пятидесяти шести)</t>
  </si>
  <si>
    <t>РЦ СТГ</t>
  </si>
  <si>
    <t>Региональный центр обеспечения производства-филиал Акционерного общества «СибурТюменьГаз»</t>
  </si>
  <si>
    <t>628616, а/о Ханты-Мансийский Автономный округ - Югра, г. Нижневартовск, 13-й км Мегионской дороги</t>
  </si>
  <si>
    <t>56 месяцев</t>
  </si>
  <si>
    <t>(Пятидесяти семи)</t>
  </si>
  <si>
    <t>Сибгазполимер</t>
  </si>
  <si>
    <t>АО «Сибгазполимер»</t>
  </si>
  <si>
    <t>Акционерное общество «Сибгазполимер»</t>
  </si>
  <si>
    <t>57 месяцев</t>
  </si>
  <si>
    <t>(Пятидесяти восеми)</t>
  </si>
  <si>
    <t>СИБУР ГЕОСИНТ</t>
  </si>
  <si>
    <t>ООО «СИБУР ГЕОСИНТ»</t>
  </si>
  <si>
    <t>Общество с ограниченной ответственностью «СИБУР ГЕОСИНТ»</t>
  </si>
  <si>
    <t>117218, г. Москва, ул. Кржижановского, д. 16, корп. 1</t>
  </si>
  <si>
    <t>58 месяцев</t>
  </si>
  <si>
    <t>(Пятидесяти девяти)</t>
  </si>
  <si>
    <t>СИБУР ТЦРПП</t>
  </si>
  <si>
    <t>ООО «СИБУР ТЦРПП»</t>
  </si>
  <si>
    <t>Общество с ограниченной ответственностью «СИБУР Технический Центр по Развитию и Переработке Полиолефинов»</t>
  </si>
  <si>
    <t>121205, Москва.</t>
  </si>
  <si>
    <t>59 месяцев</t>
  </si>
  <si>
    <t>(Шестидесяти)</t>
  </si>
  <si>
    <t>СИБУР-Транс</t>
  </si>
  <si>
    <t>АО «СИБУР-Транс»</t>
  </si>
  <si>
    <t>Акционерное общество «СИБУР-Транс»</t>
  </si>
  <si>
    <t>117997, г. Москва, ул. Кржижановского, д. 18, к.4</t>
  </si>
  <si>
    <t>61 месяц</t>
  </si>
  <si>
    <t>(Шестидесяти двух)</t>
  </si>
  <si>
    <t>СИБУР-ЦОБ</t>
  </si>
  <si>
    <t>ООО «СИБУР-ЦОБ»</t>
  </si>
  <si>
    <t>Общество с ограниченной ответственностью «СИБУР-Центр Обслуживания Бизнеса»</t>
  </si>
  <si>
    <t>603140, г. Нижний Новгород, Мотальный переулок, 8 - Бугров Бизнес Парк, корпус А</t>
  </si>
  <si>
    <t>62 месяца</t>
  </si>
  <si>
    <t>(Шестидесяти трех)</t>
  </si>
  <si>
    <t>СОИР</t>
  </si>
  <si>
    <t>ООО «СОИР»</t>
  </si>
  <si>
    <t>Общество с ограниченной ответственностью «СОИР»</t>
  </si>
  <si>
    <t>63 месяца</t>
  </si>
  <si>
    <t>(Шестидесяти четырех)</t>
  </si>
  <si>
    <t>СПГ НОВАИНЖИНИРИНГ</t>
  </si>
  <si>
    <t>ООО «СПГ НОВАИНЖИНИРИНГ»</t>
  </si>
  <si>
    <t>Общество с ограниченной ответственностью «СПГ НОВАИНЖИНИРИНГ»</t>
  </si>
  <si>
    <t>64 месяца</t>
  </si>
  <si>
    <t>(Шестидесяти пяти)</t>
  </si>
  <si>
    <t>Южно-Балыкский ГПЗ</t>
  </si>
  <si>
    <t>«Южно-Балыкский газоперерабатывающий завод» - Филиал Акционерного общества «СибурТюменьГаз»</t>
  </si>
  <si>
    <t>628387, а/о Ханты-Мансийский Автономный округ - Югра, г. Пыть-Ях, микрорайон №7, д. 7А</t>
  </si>
  <si>
    <t>65 месяцев</t>
  </si>
  <si>
    <t>(Шестидесяти шести)</t>
  </si>
  <si>
    <t>Южно-Приобский ГПЗ</t>
  </si>
  <si>
    <t>ООО «Южно-Приобский ГПЗ»</t>
  </si>
  <si>
    <t>Общество с ограниченной ответственностью «Южно-Приобский Газоперерабатывающий Завод»</t>
  </si>
  <si>
    <t>628012, а/о Ханты-Мансийский Автономный округ - Югра, г. Ханты-Мансийск, ул. Мира, д. 149</t>
  </si>
  <si>
    <t>66 месяцев</t>
  </si>
  <si>
    <t>(Шестидесяти семи)</t>
  </si>
  <si>
    <t>67 месяцев</t>
  </si>
  <si>
    <t>(Шестидесяти восеми)</t>
  </si>
  <si>
    <t>68 месяцев</t>
  </si>
  <si>
    <t>(Шестидесяти девяти)</t>
  </si>
  <si>
    <t>69 месяцев</t>
  </si>
  <si>
    <t>(Семидесяти)</t>
  </si>
  <si>
    <t>70 месяцев</t>
  </si>
  <si>
    <t>(Семидесяти одного)</t>
  </si>
  <si>
    <t>71 месяц</t>
  </si>
  <si>
    <t>(Семидесяти двух)</t>
  </si>
  <si>
    <t>72 месяца</t>
  </si>
  <si>
    <t>(Семидесяти трех)</t>
  </si>
  <si>
    <t>73 месяца</t>
  </si>
  <si>
    <t>(Семидесяти четырех)</t>
  </si>
  <si>
    <t>74 месяца</t>
  </si>
  <si>
    <t>(Семидесяти пяти)</t>
  </si>
  <si>
    <t>75 месяцев</t>
  </si>
  <si>
    <t>(Семидесяти шести)</t>
  </si>
  <si>
    <t>76 месяцев</t>
  </si>
  <si>
    <t>(Семидесяти семи)</t>
  </si>
  <si>
    <t>77 месяцев</t>
  </si>
  <si>
    <t>(Семидесяти восеми)</t>
  </si>
  <si>
    <t>78 месяцев</t>
  </si>
  <si>
    <t>(Семидесяти девяти)</t>
  </si>
  <si>
    <t>79 месяцев</t>
  </si>
  <si>
    <t>(Восьмидесяти)</t>
  </si>
  <si>
    <t>80 месяцев</t>
  </si>
  <si>
    <t>(Восьмидесяти одного)</t>
  </si>
  <si>
    <t>81 месяц</t>
  </si>
  <si>
    <t>(Восьмидесяти двух)</t>
  </si>
  <si>
    <t>82 месяца</t>
  </si>
  <si>
    <t>(Восьмидесяти трех)</t>
  </si>
  <si>
    <t>83 месяца</t>
  </si>
  <si>
    <t>(Восьмидесяти четырех)</t>
  </si>
  <si>
    <t>84 месяца</t>
  </si>
  <si>
    <t>(Восьмидесяти пяти)</t>
  </si>
  <si>
    <t>85 месяцев</t>
  </si>
  <si>
    <t>(Восьмидесяти шести)</t>
  </si>
  <si>
    <t>86 месяцев</t>
  </si>
  <si>
    <t>(Восьмидесяти семи)</t>
  </si>
  <si>
    <t>87 месяцев</t>
  </si>
  <si>
    <t>(Восьмидесяти восеми)</t>
  </si>
  <si>
    <t>88 месяцев</t>
  </si>
  <si>
    <t>(Восьмидесяти девяти)</t>
  </si>
  <si>
    <t>89 месяцев</t>
  </si>
  <si>
    <t>(Девяноста)</t>
  </si>
  <si>
    <t>90 месяцев</t>
  </si>
  <si>
    <t>(Девяноста одного)</t>
  </si>
  <si>
    <t>91 месяц</t>
  </si>
  <si>
    <t>(Девяноста двух)</t>
  </si>
  <si>
    <t>92 месяца</t>
  </si>
  <si>
    <t>(Девяноста трех)</t>
  </si>
  <si>
    <t>93 месяца</t>
  </si>
  <si>
    <t>(Девяноста четырех)</t>
  </si>
  <si>
    <t>94 месяца</t>
  </si>
  <si>
    <t>(Девяноста пяти)</t>
  </si>
  <si>
    <t>95 месяцев</t>
  </si>
  <si>
    <t>(Девяноста шести)</t>
  </si>
  <si>
    <t>96 месяцев</t>
  </si>
  <si>
    <t>(Девяноста семи)</t>
  </si>
  <si>
    <t>97 месяцев</t>
  </si>
  <si>
    <t>(Девяноста восеми)</t>
  </si>
  <si>
    <t>98 месяцев</t>
  </si>
  <si>
    <t>(Девяноста девяти)</t>
  </si>
  <si>
    <t>99 месяцев</t>
  </si>
  <si>
    <t>(Ста)</t>
  </si>
  <si>
    <t>100 месяцев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</si>
</sst>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0.000"/>
    <numFmt numFmtId="166" formatCode="d\ mmmm\,\ yyyy"/>
  </numFmts>
  <fonts count="63">
    <font>
      <sz val="10"/>
      <name val="Arial Cyr"/>
      <charset val="204"/>
    </font>
    <font>
      <sz val="11"/>
      <name val="Arial Cyr"/>
      <charset val="204"/>
    </font>
    <font>
      <sz val="10"/>
      <name val="Arial"/>
      <family val="2"/>
      <charset val="204"/>
    </font>
    <font>
      <sz val="10"/>
      <name val="Arial Cyr"/>
      <charset val="204"/>
    </font>
    <font>
      <sz val="10"/>
      <name val="Helv"/>
    </font>
    <font>
      <b/>
      <sz val="12"/>
      <name val="Arial Cyr"/>
      <charset val="204"/>
    </font>
    <font>
      <b/>
      <sz val="10"/>
      <color theme="0"/>
      <name val="Arial Cyr"/>
      <charset val="204"/>
    </font>
    <font>
      <b/>
      <sz val="10"/>
      <name val="Arial Cyr"/>
      <charset val="204"/>
    </font>
    <font>
      <i/>
      <sz val="10"/>
      <name val="Arial Cyr"/>
      <charset val="204"/>
    </font>
    <font>
      <sz val="14"/>
      <name val="Times New Roman"/>
      <family val="1"/>
      <charset val="204"/>
    </font>
    <font>
      <b/>
      <sz val="14"/>
      <name val="Times New Roman"/>
      <family val="1"/>
      <charset val="204"/>
    </font>
    <font>
      <sz val="14"/>
      <color indexed="8"/>
      <name val="Times New Roman"/>
      <family val="1"/>
      <charset val="204"/>
    </font>
    <font>
      <b/>
      <sz val="9"/>
      <color theme="0"/>
      <name val="Arial"/>
      <family val="2"/>
      <charset val="204"/>
    </font>
    <font>
      <sz val="9"/>
      <color indexed="8"/>
      <name val="Arial"/>
      <family val="2"/>
      <charset val="204"/>
    </font>
    <font>
      <sz val="10"/>
      <name val="Times New Roman"/>
      <family val="1"/>
      <charset val="204"/>
    </font>
    <font>
      <sz val="9"/>
      <name val="Arial"/>
      <family val="2"/>
      <charset val="204"/>
    </font>
    <font>
      <sz val="11"/>
      <color indexed="8"/>
      <name val="Times New Roman"/>
      <family val="1"/>
      <charset val="204"/>
    </font>
    <font>
      <sz val="12"/>
      <color indexed="8"/>
      <name val="Times New Roman"/>
      <family val="1"/>
      <charset val="204"/>
    </font>
    <font>
      <u/>
      <sz val="10"/>
      <color theme="10"/>
      <name val="Arial Cyr"/>
      <family val="2"/>
      <charset val="204"/>
    </font>
    <font>
      <sz val="10"/>
      <color theme="1"/>
      <name val="Calibri"/>
      <family val="2"/>
      <charset val="204"/>
      <scheme val="minor"/>
    </font>
    <font>
      <b/>
      <sz val="10"/>
      <color rgb="FFFF0000"/>
      <name val="Arial Cyr"/>
      <charset val="204"/>
    </font>
    <font>
      <b/>
      <i/>
      <sz val="10"/>
      <name val="Arial Cyr"/>
      <charset val="204"/>
    </font>
    <font>
      <i/>
      <sz val="10"/>
      <color rgb="FFFF0000"/>
      <name val="Arial Cyr"/>
      <charset val="204"/>
    </font>
    <font>
      <u/>
      <sz val="10"/>
      <color theme="10"/>
      <name val="Arial Cyr"/>
      <charset val="204"/>
    </font>
    <font>
      <sz val="14"/>
      <name val="Arial Cyr"/>
      <charset val="204"/>
    </font>
    <font>
      <b/>
      <sz val="10"/>
      <color theme="1"/>
      <name val="Arial Cyr"/>
      <charset val="204"/>
    </font>
    <font>
      <b/>
      <i/>
      <sz val="10"/>
      <color theme="1"/>
      <name val="Arial Cyr"/>
      <charset val="204"/>
    </font>
    <font>
      <i/>
      <sz val="10"/>
      <color theme="1"/>
      <name val="Arial Cyr"/>
      <charset val="204"/>
    </font>
    <font>
      <sz val="9"/>
      <color rgb="FF000000"/>
      <name val="Arial"/>
      <family val="2"/>
      <charset val="204"/>
    </font>
    <font>
      <u/>
      <sz val="9"/>
      <color theme="10"/>
      <name val="Arial"/>
      <family val="2"/>
      <charset val="204"/>
    </font>
    <font>
      <b/>
      <sz val="8"/>
      <color theme="0"/>
      <name val="Arial Cyr"/>
      <charset val="204"/>
    </font>
    <font>
      <b/>
      <sz val="10"/>
      <color rgb="FFFFFF00"/>
      <name val="Arial Cyr"/>
      <charset val="204"/>
    </font>
    <font>
      <sz val="9"/>
      <color theme="1"/>
      <name val="Arial"/>
      <family val="2"/>
      <charset val="204"/>
    </font>
    <font>
      <sz val="11"/>
      <color rgb="FF000000"/>
      <name val="Open Sans"/>
      <family val="2"/>
      <charset val="204"/>
    </font>
    <font>
      <sz val="28"/>
      <name val="Times New Roman"/>
      <family val="1"/>
      <charset val="204"/>
    </font>
    <font>
      <b/>
      <sz val="28"/>
      <name val="Times New Roman"/>
      <family val="1"/>
      <charset val="204"/>
    </font>
    <font>
      <sz val="28"/>
      <color theme="1"/>
      <name val="Times New Roman"/>
      <family val="1"/>
      <charset val="204"/>
    </font>
    <font>
      <b/>
      <sz val="28"/>
      <color theme="0" tint="-4.9989318521683403E-2"/>
      <name val="Times New Roman"/>
      <family val="1"/>
      <charset val="204"/>
    </font>
    <font>
      <b/>
      <sz val="28"/>
      <color rgb="FFFF0000"/>
      <name val="Times New Roman"/>
      <family val="1"/>
      <charset val="204"/>
    </font>
    <font>
      <b/>
      <sz val="28"/>
      <color theme="1"/>
      <name val="Times New Roman"/>
      <family val="1"/>
      <charset val="204"/>
    </font>
    <font>
      <sz val="28"/>
      <color indexed="8"/>
      <name val="Times New Roman"/>
      <family val="1"/>
      <charset val="204"/>
    </font>
    <font>
      <b/>
      <i/>
      <sz val="28"/>
      <name val="Times New Roman"/>
      <family val="1"/>
      <charset val="204"/>
    </font>
    <font>
      <i/>
      <sz val="28"/>
      <color rgb="FFFF0000"/>
      <name val="Times New Roman"/>
      <family val="1"/>
      <charset val="204"/>
    </font>
    <font>
      <sz val="28"/>
      <color theme="0"/>
      <name val="Arial"/>
      <family val="2"/>
      <charset val="204"/>
    </font>
    <font>
      <sz val="9"/>
      <name val="Arial Cyr"/>
      <charset val="204"/>
    </font>
    <font>
      <sz val="10"/>
      <color rgb="FF000000"/>
      <name val="Arial"/>
      <family val="2"/>
      <charset val="204"/>
    </font>
    <font>
      <sz val="10"/>
      <color theme="1"/>
      <name val="Arial"/>
      <family val="2"/>
      <charset val="204"/>
    </font>
    <font>
      <sz val="28"/>
      <color theme="0"/>
      <name val="Times New Roman"/>
      <family val="1"/>
      <charset val="204"/>
    </font>
    <font>
      <sz val="9"/>
      <color theme="0"/>
      <name val="Arial"/>
      <family val="2"/>
      <charset val="204"/>
    </font>
    <font>
      <sz val="10"/>
      <color indexed="8"/>
      <name val="Segoe UI"/>
      <family val="2"/>
      <charset val="204"/>
    </font>
    <font>
      <sz val="10"/>
      <name val="Segoe UI"/>
      <family val="2"/>
      <charset val="204"/>
    </font>
    <font>
      <sz val="10"/>
      <color rgb="FF000000"/>
      <name val="Segoe UI"/>
      <family val="2"/>
      <charset val="204"/>
    </font>
    <font>
      <sz val="10"/>
      <color indexed="8"/>
      <name val="Arial"/>
      <family val="2"/>
      <charset val="204"/>
    </font>
    <font>
      <sz val="10"/>
      <color theme="0"/>
      <name val="Arial Cyr"/>
      <charset val="204"/>
    </font>
    <font>
      <sz val="10"/>
      <color theme="1"/>
      <name val="Segoe UI"/>
      <family val="2"/>
      <charset val="204"/>
    </font>
    <font>
      <b/>
      <sz val="10"/>
      <color theme="0"/>
      <name val="Arial"/>
      <family val="2"/>
      <charset val="204"/>
    </font>
    <font>
      <b/>
      <sz val="10"/>
      <color theme="0"/>
      <name val="Segoe UI"/>
      <family val="2"/>
      <charset val="204"/>
    </font>
    <font>
      <sz val="10"/>
      <color theme="0"/>
      <name val="Arial"/>
      <family val="2"/>
      <charset val="204"/>
    </font>
    <font>
      <b/>
      <sz val="30"/>
      <name val="Times New Roman"/>
      <family val="1"/>
      <charset val="204"/>
    </font>
    <font>
      <sz val="30"/>
      <name val="Times New Roman"/>
      <family val="1"/>
      <charset val="204"/>
    </font>
    <font>
      <b/>
      <i/>
      <sz val="10"/>
      <color rgb="FFFF0000"/>
      <name val="Arial Cyr"/>
      <charset val="204"/>
    </font>
    <font>
      <u/>
      <sz val="28"/>
      <name val="Times New Roman"/>
      <family val="1"/>
      <charset val="204"/>
    </font>
    <font>
      <u/>
      <sz val="30"/>
      <name val="Times New Roman"/>
      <family val="1"/>
      <charset val="204"/>
    </font>
  </fonts>
  <fills count="12">
    <fill>
      <patternFill patternType="none"/>
    </fill>
    <fill>
      <patternFill patternType="gray125"/>
    </fill>
    <fill>
      <patternFill patternType="solid">
        <fgColor rgb="FF008080"/>
        <bgColor indexed="64"/>
      </patternFill>
    </fill>
    <fill>
      <patternFill patternType="solid">
        <fgColor theme="0" tint="-0.499984740745262"/>
        <bgColor indexed="64"/>
      </patternFill>
    </fill>
    <fill>
      <patternFill patternType="solid">
        <fgColor theme="0"/>
        <bgColor indexed="64"/>
      </patternFill>
    </fill>
    <fill>
      <patternFill patternType="solid">
        <fgColor rgb="FFFFFFCC"/>
        <bgColor indexed="64"/>
      </patternFill>
    </fill>
    <fill>
      <patternFill patternType="solid">
        <fgColor theme="0" tint="-4.9989318521683403E-2"/>
        <bgColor indexed="64"/>
      </patternFill>
    </fill>
    <fill>
      <patternFill patternType="solid">
        <fgColor indexed="9"/>
        <bgColor indexed="64"/>
      </patternFill>
    </fill>
    <fill>
      <patternFill patternType="solid">
        <fgColor rgb="FFF8F8F8"/>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6"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0" fontId="3" fillId="0" borderId="0"/>
    <xf numFmtId="0" fontId="2" fillId="0" borderId="0"/>
    <xf numFmtId="0" fontId="1" fillId="0" borderId="0"/>
    <xf numFmtId="0" fontId="4" fillId="0" borderId="0"/>
    <xf numFmtId="164" fontId="3" fillId="0" borderId="0" applyFont="0" applyFill="0" applyBorder="0" applyAlignment="0" applyProtection="0"/>
    <xf numFmtId="9" fontId="3" fillId="0" borderId="0" applyFont="0" applyFill="0" applyBorder="0" applyAlignment="0" applyProtection="0"/>
    <xf numFmtId="0" fontId="18" fillId="0" borderId="0" applyNumberFormat="0" applyFill="0" applyBorder="0" applyAlignment="0" applyProtection="0"/>
    <xf numFmtId="0" fontId="19" fillId="0" borderId="0"/>
    <xf numFmtId="0" fontId="23" fillId="0" borderId="0" applyNumberFormat="0" applyFill="0" applyBorder="0" applyAlignment="0" applyProtection="0"/>
  </cellStyleXfs>
  <cellXfs count="395">
    <xf numFmtId="0" fontId="0" fillId="0" borderId="0" xfId="0"/>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0" fillId="0" borderId="0" xfId="0" applyAlignment="1">
      <alignment horizontal="center" vertical="center"/>
    </xf>
    <xf numFmtId="0" fontId="14" fillId="0" borderId="0" xfId="0" applyFont="1"/>
    <xf numFmtId="0" fontId="9" fillId="0" borderId="0" xfId="1" applyFont="1" applyAlignment="1">
      <alignment vertical="top" wrapText="1"/>
    </xf>
    <xf numFmtId="0" fontId="9" fillId="0" borderId="0" xfId="1" applyFont="1" applyAlignment="1">
      <alignment horizontal="justify" vertical="top" wrapText="1"/>
    </xf>
    <xf numFmtId="0" fontId="8" fillId="0" borderId="0" xfId="0" applyFont="1"/>
    <xf numFmtId="0" fontId="0" fillId="0" borderId="1" xfId="0" applyBorder="1" applyAlignment="1">
      <alignment horizontal="center" vertical="center"/>
    </xf>
    <xf numFmtId="0" fontId="10" fillId="0" borderId="0" xfId="1" applyFont="1" applyAlignment="1" applyProtection="1">
      <alignment horizontal="justify" vertical="top" wrapText="1"/>
      <protection locked="0"/>
    </xf>
    <xf numFmtId="0" fontId="0" fillId="0" borderId="1" xfId="0" applyBorder="1" applyAlignment="1">
      <alignment vertical="top" wrapText="1"/>
    </xf>
    <xf numFmtId="0" fontId="23" fillId="0" borderId="1" xfId="9" applyBorder="1" applyAlignment="1">
      <alignment horizontal="center" vertical="center"/>
    </xf>
    <xf numFmtId="0" fontId="24" fillId="0" borderId="0" xfId="0" applyFont="1" applyAlignment="1">
      <alignment horizontal="left" vertical="center"/>
    </xf>
    <xf numFmtId="0" fontId="24" fillId="0" borderId="0" xfId="0" applyFont="1"/>
    <xf numFmtId="0" fontId="0" fillId="0" borderId="0" xfId="0" applyProtection="1">
      <protection locked="0"/>
    </xf>
    <xf numFmtId="0" fontId="5" fillId="0" borderId="0" xfId="0" applyFont="1" applyAlignment="1" applyProtection="1">
      <alignment vertical="center"/>
      <protection locked="0"/>
    </xf>
    <xf numFmtId="0" fontId="6"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4" xfId="0" applyBorder="1" applyAlignment="1" applyProtection="1">
      <alignment horizontal="center" vertical="center"/>
      <protection locked="0"/>
    </xf>
    <xf numFmtId="0" fontId="7" fillId="4" borderId="1" xfId="0" applyFont="1" applyFill="1" applyBorder="1" applyProtection="1">
      <protection locked="0"/>
    </xf>
    <xf numFmtId="0" fontId="0" fillId="0" borderId="13" xfId="0" applyBorder="1" applyProtection="1">
      <protection locked="0"/>
    </xf>
    <xf numFmtId="0" fontId="0" fillId="6" borderId="2" xfId="0" applyFill="1" applyBorder="1" applyProtection="1">
      <protection locked="0"/>
    </xf>
    <xf numFmtId="0" fontId="0" fillId="5" borderId="2" xfId="0" applyFill="1" applyBorder="1" applyAlignment="1" applyProtection="1">
      <alignment wrapText="1"/>
      <protection locked="0"/>
    </xf>
    <xf numFmtId="0" fontId="0" fillId="0" borderId="1" xfId="0" applyBorder="1" applyProtection="1">
      <protection locked="0"/>
    </xf>
    <xf numFmtId="0" fontId="7" fillId="0" borderId="1" xfId="0" applyFont="1" applyBorder="1" applyAlignment="1" applyProtection="1">
      <alignment wrapText="1"/>
      <protection locked="0"/>
    </xf>
    <xf numFmtId="0" fontId="0" fillId="5" borderId="2" xfId="0" applyFill="1" applyBorder="1" applyAlignment="1" applyProtection="1">
      <alignment vertical="center" wrapText="1"/>
      <protection locked="0"/>
    </xf>
    <xf numFmtId="0" fontId="0" fillId="0" borderId="13" xfId="0" applyBorder="1" applyAlignment="1" applyProtection="1">
      <alignment horizontal="center" vertical="center"/>
      <protection locked="0"/>
    </xf>
    <xf numFmtId="0" fontId="8" fillId="4" borderId="1" xfId="0" applyFont="1" applyFill="1" applyBorder="1" applyAlignment="1" applyProtection="1">
      <alignment vertical="center" wrapText="1"/>
      <protection locked="0"/>
    </xf>
    <xf numFmtId="0" fontId="8" fillId="4" borderId="1" xfId="0" applyFont="1" applyFill="1" applyBorder="1" applyAlignment="1" applyProtection="1">
      <alignment wrapText="1"/>
      <protection locked="0"/>
    </xf>
    <xf numFmtId="0" fontId="0" fillId="5" borderId="2" xfId="0" applyFill="1" applyBorder="1" applyAlignment="1" applyProtection="1">
      <alignment horizontal="left" vertical="center" wrapText="1"/>
      <protection locked="0"/>
    </xf>
    <xf numFmtId="0" fontId="7" fillId="4" borderId="1" xfId="0" applyFont="1" applyFill="1" applyBorder="1" applyAlignment="1" applyProtection="1">
      <alignment wrapText="1"/>
      <protection locked="0"/>
    </xf>
    <xf numFmtId="0" fontId="7" fillId="0" borderId="1" xfId="0" applyFont="1" applyBorder="1" applyAlignment="1" applyProtection="1">
      <alignment vertical="center" wrapText="1"/>
      <protection locked="0"/>
    </xf>
    <xf numFmtId="0" fontId="7" fillId="4" borderId="1" xfId="0" applyFont="1" applyFill="1" applyBorder="1" applyAlignment="1" applyProtection="1">
      <alignment vertical="center" wrapText="1"/>
      <protection locked="0"/>
    </xf>
    <xf numFmtId="0" fontId="0" fillId="6" borderId="2" xfId="0" applyFill="1" applyBorder="1" applyAlignment="1" applyProtection="1">
      <alignment vertical="center"/>
      <protection locked="0"/>
    </xf>
    <xf numFmtId="14" fontId="0" fillId="5" borderId="2" xfId="0" applyNumberFormat="1" applyFill="1" applyBorder="1" applyAlignment="1" applyProtection="1">
      <alignment horizontal="left" vertical="center" wrapText="1"/>
      <protection locked="0"/>
    </xf>
    <xf numFmtId="16" fontId="7" fillId="0" borderId="1" xfId="0" applyNumberFormat="1" applyFont="1" applyBorder="1" applyAlignment="1" applyProtection="1">
      <alignment vertical="center"/>
      <protection locked="0"/>
    </xf>
    <xf numFmtId="0" fontId="0" fillId="6" borderId="2" xfId="0" applyFill="1" applyBorder="1" applyAlignment="1" applyProtection="1">
      <alignment horizontal="left" vertical="center" wrapText="1"/>
      <protection locked="0"/>
    </xf>
    <xf numFmtId="0" fontId="7" fillId="4" borderId="1" xfId="0" applyFont="1" applyFill="1" applyBorder="1" applyAlignment="1" applyProtection="1">
      <alignment horizontal="left" wrapText="1"/>
      <protection locked="0"/>
    </xf>
    <xf numFmtId="0" fontId="0" fillId="6" borderId="2" xfId="0" applyFill="1" applyBorder="1" applyAlignment="1" applyProtection="1">
      <alignment vertical="center" wrapText="1"/>
      <protection locked="0"/>
    </xf>
    <xf numFmtId="0" fontId="8" fillId="4" borderId="1" xfId="0" applyFont="1" applyFill="1" applyBorder="1" applyAlignment="1" applyProtection="1">
      <alignment horizontal="left" wrapText="1"/>
      <protection locked="0"/>
    </xf>
    <xf numFmtId="0" fontId="8" fillId="6" borderId="2" xfId="0" applyFont="1" applyFill="1" applyBorder="1" applyAlignment="1" applyProtection="1">
      <alignment vertical="center" wrapText="1"/>
      <protection locked="0"/>
    </xf>
    <xf numFmtId="0" fontId="8" fillId="0" borderId="13" xfId="0" applyFont="1" applyBorder="1" applyProtection="1">
      <protection locked="0"/>
    </xf>
    <xf numFmtId="0" fontId="8" fillId="0" borderId="0" xfId="0" applyFont="1" applyProtection="1">
      <protection locked="0"/>
    </xf>
    <xf numFmtId="0" fontId="7" fillId="4" borderId="1" xfId="0" applyFont="1" applyFill="1" applyBorder="1" applyAlignment="1" applyProtection="1">
      <alignment horizontal="left" vertical="top" wrapText="1"/>
      <protection locked="0"/>
    </xf>
    <xf numFmtId="0" fontId="0" fillId="5" borderId="2" xfId="0" applyFill="1" applyBorder="1" applyAlignment="1" applyProtection="1">
      <alignment horizontal="left" vertical="center"/>
      <protection locked="0"/>
    </xf>
    <xf numFmtId="9" fontId="0" fillId="6" borderId="2" xfId="6" applyFont="1" applyFill="1" applyBorder="1" applyAlignment="1" applyProtection="1">
      <alignment horizontal="left" vertical="center"/>
      <protection locked="0"/>
    </xf>
    <xf numFmtId="14" fontId="0" fillId="5" borderId="2" xfId="0" applyNumberFormat="1" applyFill="1" applyBorder="1" applyAlignment="1" applyProtection="1">
      <alignment horizontal="left" vertical="center"/>
      <protection locked="0"/>
    </xf>
    <xf numFmtId="16" fontId="8" fillId="4" borderId="1" xfId="0" applyNumberFormat="1" applyFont="1" applyFill="1" applyBorder="1" applyAlignment="1" applyProtection="1">
      <alignment vertical="center" wrapText="1"/>
      <protection locked="0"/>
    </xf>
    <xf numFmtId="0" fontId="7" fillId="0" borderId="1" xfId="0" applyFont="1" applyBorder="1" applyAlignment="1" applyProtection="1">
      <alignment horizontal="left"/>
      <protection locked="0"/>
    </xf>
    <xf numFmtId="0" fontId="7" fillId="0" borderId="1" xfId="0" applyFont="1" applyBorder="1" applyAlignment="1" applyProtection="1">
      <alignment horizontal="left" vertical="center"/>
      <protection locked="0"/>
    </xf>
    <xf numFmtId="0" fontId="0" fillId="0" borderId="15" xfId="0" applyBorder="1" applyProtection="1">
      <protection locked="0"/>
    </xf>
    <xf numFmtId="0" fontId="30" fillId="3" borderId="14" xfId="0" applyFont="1" applyFill="1" applyBorder="1" applyAlignment="1" applyProtection="1">
      <alignment horizontal="center" vertical="center" wrapText="1"/>
      <protection locked="0"/>
    </xf>
    <xf numFmtId="0" fontId="0" fillId="10" borderId="1" xfId="0" applyFill="1" applyBorder="1" applyAlignment="1" applyProtection="1">
      <alignment vertical="center" wrapText="1"/>
      <protection locked="0"/>
    </xf>
    <xf numFmtId="0" fontId="0" fillId="0" borderId="1" xfId="0" applyBorder="1" applyAlignment="1" applyProtection="1">
      <alignment horizontal="center" vertical="center"/>
      <protection locked="0"/>
    </xf>
    <xf numFmtId="0" fontId="8" fillId="0" borderId="1" xfId="0" applyFont="1" applyBorder="1" applyAlignment="1" applyProtection="1">
      <alignment vertical="center"/>
      <protection locked="0"/>
    </xf>
    <xf numFmtId="0" fontId="8" fillId="0" borderId="1" xfId="0" applyFont="1" applyBorder="1" applyAlignment="1" applyProtection="1">
      <alignment vertical="center" wrapText="1"/>
      <protection locked="0"/>
    </xf>
    <xf numFmtId="9" fontId="0" fillId="5" borderId="1" xfId="6" applyFont="1" applyFill="1" applyBorder="1" applyAlignment="1" applyProtection="1">
      <alignment horizontal="left" vertical="center" wrapText="1"/>
      <protection locked="0"/>
    </xf>
    <xf numFmtId="0" fontId="25" fillId="0" borderId="1" xfId="0" applyFont="1" applyBorder="1" applyAlignment="1" applyProtection="1">
      <alignment vertical="center" wrapText="1"/>
      <protection locked="0"/>
    </xf>
    <xf numFmtId="14" fontId="0" fillId="5" borderId="1" xfId="0" applyNumberFormat="1" applyFill="1" applyBorder="1" applyAlignment="1" applyProtection="1">
      <alignment horizontal="left" vertical="center"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0" fontId="0" fillId="0" borderId="15" xfId="0" applyBorder="1" applyAlignment="1" applyProtection="1">
      <alignment horizontal="center" vertical="center"/>
      <protection locked="0"/>
    </xf>
    <xf numFmtId="9" fontId="0" fillId="10" borderId="2" xfId="6" applyFont="1" applyFill="1" applyBorder="1" applyAlignment="1">
      <alignment horizontal="left" vertical="center"/>
    </xf>
    <xf numFmtId="0" fontId="0" fillId="10" borderId="2" xfId="0" applyFill="1" applyBorder="1" applyAlignment="1" applyProtection="1">
      <alignment vertical="center" wrapText="1"/>
      <protection locked="0"/>
    </xf>
    <xf numFmtId="0" fontId="0" fillId="0" borderId="1" xfId="0" applyBorder="1" applyAlignment="1">
      <alignment wrapText="1"/>
    </xf>
    <xf numFmtId="0" fontId="0" fillId="0" borderId="13" xfId="0" applyBorder="1"/>
    <xf numFmtId="0" fontId="0" fillId="0" borderId="13" xfId="0" applyBorder="1" applyAlignment="1">
      <alignment horizontal="center" vertical="center"/>
    </xf>
    <xf numFmtId="49" fontId="0" fillId="5" borderId="2" xfId="0" applyNumberFormat="1" applyFill="1" applyBorder="1" applyAlignment="1">
      <alignment horizontal="left" vertical="center" wrapText="1"/>
    </xf>
    <xf numFmtId="49" fontId="0" fillId="5" borderId="2" xfId="0" applyNumberFormat="1" applyFill="1" applyBorder="1" applyAlignment="1" applyProtection="1">
      <alignment vertical="center"/>
      <protection locked="0"/>
    </xf>
    <xf numFmtId="0" fontId="7" fillId="0" borderId="6" xfId="0" applyFont="1" applyBorder="1" applyAlignment="1" applyProtection="1">
      <alignment vertical="center" wrapText="1"/>
      <protection locked="0"/>
    </xf>
    <xf numFmtId="0" fontId="8" fillId="4" borderId="1" xfId="0" applyFont="1" applyFill="1" applyBorder="1" applyAlignment="1">
      <alignment vertical="center" wrapText="1"/>
    </xf>
    <xf numFmtId="49" fontId="0" fillId="5" borderId="2" xfId="0" applyNumberFormat="1" applyFill="1" applyBorder="1" applyAlignment="1" applyProtection="1">
      <alignment vertical="center" wrapText="1"/>
      <protection locked="0"/>
    </xf>
    <xf numFmtId="49" fontId="0" fillId="5" borderId="2" xfId="0" applyNumberFormat="1" applyFill="1" applyBorder="1" applyAlignment="1" applyProtection="1">
      <alignment horizontal="left" wrapText="1"/>
      <protection locked="0"/>
    </xf>
    <xf numFmtId="0" fontId="0" fillId="0" borderId="1" xfId="0" quotePrefix="1" applyBorder="1" applyAlignment="1" applyProtection="1">
      <alignment vertical="center"/>
      <protection locked="0"/>
    </xf>
    <xf numFmtId="0" fontId="8" fillId="0" borderId="1" xfId="0" quotePrefix="1" applyFont="1" applyBorder="1" applyAlignment="1" applyProtection="1">
      <alignment vertical="center"/>
      <protection locked="0"/>
    </xf>
    <xf numFmtId="0" fontId="10" fillId="0" borderId="1" xfId="1" applyFont="1" applyBorder="1" applyAlignment="1" applyProtection="1">
      <alignment horizontal="center" vertical="center" wrapText="1"/>
      <protection locked="0"/>
    </xf>
    <xf numFmtId="0" fontId="7" fillId="4" borderId="1" xfId="0" applyFont="1" applyFill="1" applyBorder="1"/>
    <xf numFmtId="49" fontId="0" fillId="5" borderId="2" xfId="0" applyNumberFormat="1" applyFill="1" applyBorder="1" applyAlignment="1">
      <alignment horizontal="left"/>
    </xf>
    <xf numFmtId="0" fontId="0" fillId="0" borderId="14" xfId="0" applyBorder="1" applyAlignment="1">
      <alignment horizontal="center" vertical="center"/>
    </xf>
    <xf numFmtId="0" fontId="7" fillId="0" borderId="1" xfId="0" applyFont="1" applyBorder="1" applyAlignment="1">
      <alignment vertical="center"/>
    </xf>
    <xf numFmtId="0" fontId="7" fillId="0" borderId="1" xfId="0" applyFont="1" applyBorder="1" applyAlignment="1">
      <alignment vertical="center" wrapText="1"/>
    </xf>
    <xf numFmtId="0" fontId="0" fillId="5" borderId="6" xfId="0" applyFill="1" applyBorder="1" applyAlignment="1">
      <alignment horizontal="left" vertical="center" wrapText="1"/>
    </xf>
    <xf numFmtId="0" fontId="0" fillId="6" borderId="6" xfId="0" applyFill="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vertical="center"/>
    </xf>
    <xf numFmtId="0" fontId="0" fillId="6" borderId="1" xfId="0" applyFill="1" applyBorder="1" applyAlignment="1" applyProtection="1">
      <alignment vertical="center"/>
      <protection locked="0"/>
    </xf>
    <xf numFmtId="0" fontId="0" fillId="10" borderId="6" xfId="0" applyFill="1" applyBorder="1" applyAlignment="1" applyProtection="1">
      <alignment vertical="center" wrapText="1"/>
      <protection locked="0"/>
    </xf>
    <xf numFmtId="0" fontId="12" fillId="9" borderId="17" xfId="0" applyFont="1" applyFill="1" applyBorder="1" applyAlignment="1">
      <alignment horizontal="center" vertical="center"/>
    </xf>
    <xf numFmtId="0" fontId="33" fillId="0" borderId="0" xfId="0" applyFont="1"/>
    <xf numFmtId="0" fontId="0" fillId="0" borderId="0" xfId="0" applyAlignment="1" applyProtection="1">
      <alignment wrapText="1"/>
      <protection locked="0"/>
    </xf>
    <xf numFmtId="16" fontId="7" fillId="0" borderId="1" xfId="0" applyNumberFormat="1" applyFont="1" applyBorder="1" applyAlignment="1" applyProtection="1">
      <alignment horizontal="left" vertical="center"/>
      <protection locked="0"/>
    </xf>
    <xf numFmtId="49" fontId="34" fillId="0" borderId="0" xfId="1" applyNumberFormat="1" applyFont="1" applyAlignment="1">
      <alignment horizontal="right" vertical="center" wrapText="1"/>
    </xf>
    <xf numFmtId="49" fontId="34" fillId="0" borderId="0" xfId="1" applyNumberFormat="1" applyFont="1" applyAlignment="1">
      <alignment vertical="center" wrapText="1"/>
    </xf>
    <xf numFmtId="14" fontId="34" fillId="7" borderId="0" xfId="1" applyNumberFormat="1" applyFont="1" applyFill="1"/>
    <xf numFmtId="0" fontId="34" fillId="0" borderId="0" xfId="1" applyFont="1"/>
    <xf numFmtId="0" fontId="35" fillId="0" borderId="0" xfId="1" applyFont="1"/>
    <xf numFmtId="0" fontId="34" fillId="7" borderId="0" xfId="1" applyFont="1" applyFill="1"/>
    <xf numFmtId="16" fontId="34" fillId="7" borderId="0" xfId="1" applyNumberFormat="1" applyFont="1" applyFill="1"/>
    <xf numFmtId="0" fontId="34" fillId="0" borderId="0" xfId="3" applyFont="1"/>
    <xf numFmtId="0" fontId="34" fillId="0" borderId="0" xfId="3" applyFont="1" applyAlignment="1">
      <alignment horizontal="center"/>
    </xf>
    <xf numFmtId="0" fontId="34" fillId="0" borderId="0" xfId="3" applyFont="1" applyAlignment="1">
      <alignment horizontal="right"/>
    </xf>
    <xf numFmtId="0" fontId="34" fillId="0" borderId="0" xfId="1" applyFont="1" applyAlignment="1">
      <alignment vertical="center"/>
    </xf>
    <xf numFmtId="0" fontId="35" fillId="0" borderId="0" xfId="1" applyFont="1" applyAlignment="1">
      <alignment horizontal="justify" vertical="top"/>
    </xf>
    <xf numFmtId="0" fontId="35" fillId="6" borderId="1" xfId="1" applyFont="1" applyFill="1" applyBorder="1" applyAlignment="1">
      <alignment horizontal="center" vertical="center" wrapText="1"/>
    </xf>
    <xf numFmtId="49" fontId="35" fillId="7" borderId="1" xfId="1" applyNumberFormat="1" applyFont="1" applyFill="1" applyBorder="1" applyAlignment="1" applyProtection="1">
      <alignment horizontal="center" vertical="center" wrapText="1"/>
      <protection locked="0"/>
    </xf>
    <xf numFmtId="0" fontId="34" fillId="0" borderId="1" xfId="1" applyFont="1" applyBorder="1" applyAlignment="1" applyProtection="1">
      <alignment horizontal="center" vertical="center" wrapText="1"/>
      <protection locked="0"/>
    </xf>
    <xf numFmtId="4" fontId="34" fillId="0" borderId="1" xfId="1" applyNumberFormat="1" applyFont="1" applyBorder="1" applyAlignment="1" applyProtection="1">
      <alignment horizontal="right" vertical="center"/>
      <protection locked="0"/>
    </xf>
    <xf numFmtId="4" fontId="34" fillId="8" borderId="1" xfId="3" applyNumberFormat="1" applyFont="1" applyFill="1" applyBorder="1" applyAlignment="1" applyProtection="1">
      <alignment horizontal="right" vertical="center" wrapText="1"/>
      <protection locked="0"/>
    </xf>
    <xf numFmtId="4" fontId="34" fillId="8" borderId="1" xfId="3" applyNumberFormat="1" applyFont="1" applyFill="1" applyBorder="1" applyAlignment="1" applyProtection="1">
      <alignment horizontal="center" vertical="center" wrapText="1"/>
      <protection locked="0"/>
    </xf>
    <xf numFmtId="0" fontId="34" fillId="0" borderId="0" xfId="1" applyFont="1" applyAlignment="1" applyProtection="1">
      <alignment vertical="center"/>
      <protection locked="0"/>
    </xf>
    <xf numFmtId="0" fontId="35" fillId="6" borderId="2" xfId="1" applyFont="1" applyFill="1" applyBorder="1" applyAlignment="1" applyProtection="1">
      <alignment horizontal="left" vertical="center"/>
      <protection locked="0"/>
    </xf>
    <xf numFmtId="0" fontId="35" fillId="6" borderId="6" xfId="1" applyFont="1" applyFill="1" applyBorder="1" applyAlignment="1" applyProtection="1">
      <alignment horizontal="left" vertical="center"/>
      <protection locked="0"/>
    </xf>
    <xf numFmtId="0" fontId="35" fillId="6" borderId="7" xfId="1" applyFont="1" applyFill="1" applyBorder="1" applyAlignment="1" applyProtection="1">
      <alignment horizontal="left" vertical="center"/>
      <protection locked="0"/>
    </xf>
    <xf numFmtId="0" fontId="34" fillId="6" borderId="1" xfId="1" applyFont="1" applyFill="1" applyBorder="1" applyAlignment="1" applyProtection="1">
      <alignment horizontal="center" vertical="center" wrapText="1"/>
      <protection locked="0"/>
    </xf>
    <xf numFmtId="164" fontId="35" fillId="6" borderId="1" xfId="5" applyFont="1" applyFill="1" applyBorder="1" applyAlignment="1" applyProtection="1">
      <alignment horizontal="right" vertical="center"/>
      <protection locked="0"/>
    </xf>
    <xf numFmtId="1" fontId="35" fillId="6" borderId="1" xfId="1" applyNumberFormat="1" applyFont="1" applyFill="1" applyBorder="1" applyAlignment="1" applyProtection="1">
      <alignment horizontal="right" vertical="center"/>
      <protection locked="0"/>
    </xf>
    <xf numFmtId="4" fontId="35" fillId="6" borderId="1" xfId="1" applyNumberFormat="1" applyFont="1" applyFill="1" applyBorder="1" applyAlignment="1" applyProtection="1">
      <alignment horizontal="right" vertical="center"/>
      <protection locked="0"/>
    </xf>
    <xf numFmtId="4" fontId="37" fillId="6" borderId="1" xfId="1" applyNumberFormat="1" applyFont="1" applyFill="1" applyBorder="1" applyAlignment="1" applyProtection="1">
      <alignment horizontal="right" vertical="center"/>
      <protection locked="0"/>
    </xf>
    <xf numFmtId="4" fontId="35" fillId="8" borderId="1" xfId="3" applyNumberFormat="1" applyFont="1" applyFill="1" applyBorder="1" applyAlignment="1" applyProtection="1">
      <alignment horizontal="right" vertical="center" wrapText="1"/>
      <protection locked="0"/>
    </xf>
    <xf numFmtId="4" fontId="38" fillId="6" borderId="1" xfId="1" applyNumberFormat="1" applyFont="1" applyFill="1" applyBorder="1" applyAlignment="1" applyProtection="1">
      <alignment horizontal="right" vertical="center"/>
      <protection locked="0"/>
    </xf>
    <xf numFmtId="0" fontId="34" fillId="6" borderId="2" xfId="1" applyFont="1" applyFill="1" applyBorder="1" applyAlignment="1" applyProtection="1">
      <alignment vertical="top"/>
      <protection locked="0"/>
    </xf>
    <xf numFmtId="0" fontId="35" fillId="6" borderId="6" xfId="1" applyFont="1" applyFill="1" applyBorder="1" applyAlignment="1" applyProtection="1">
      <alignment horizontal="justify" vertical="top" wrapText="1"/>
      <protection locked="0"/>
    </xf>
    <xf numFmtId="0" fontId="35" fillId="6" borderId="7" xfId="1" applyFont="1" applyFill="1" applyBorder="1" applyAlignment="1" applyProtection="1">
      <alignment horizontal="justify" vertical="top" wrapText="1"/>
      <protection locked="0"/>
    </xf>
    <xf numFmtId="0" fontId="34" fillId="6" borderId="6" xfId="1" applyFont="1" applyFill="1" applyBorder="1" applyAlignment="1" applyProtection="1">
      <alignment vertical="top" wrapText="1"/>
      <protection locked="0"/>
    </xf>
    <xf numFmtId="4" fontId="34" fillId="6" borderId="6" xfId="1" applyNumberFormat="1" applyFont="1" applyFill="1" applyBorder="1" applyAlignment="1" applyProtection="1">
      <alignment horizontal="right" vertical="top" wrapText="1"/>
      <protection locked="0"/>
    </xf>
    <xf numFmtId="0" fontId="34" fillId="6" borderId="6" xfId="1" applyFont="1" applyFill="1" applyBorder="1" applyAlignment="1" applyProtection="1">
      <alignment horizontal="left" vertical="top" wrapText="1"/>
      <protection locked="0"/>
    </xf>
    <xf numFmtId="0" fontId="34" fillId="6" borderId="6" xfId="1" applyFont="1" applyFill="1" applyBorder="1" applyProtection="1">
      <protection locked="0"/>
    </xf>
    <xf numFmtId="0" fontId="34" fillId="6" borderId="7" xfId="1" applyFont="1" applyFill="1" applyBorder="1" applyAlignment="1" applyProtection="1">
      <alignment horizontal="justify"/>
      <protection locked="0"/>
    </xf>
    <xf numFmtId="0" fontId="34" fillId="0" borderId="0" xfId="1" applyFont="1" applyAlignment="1">
      <alignment vertical="top"/>
    </xf>
    <xf numFmtId="0" fontId="35" fillId="0" borderId="0" xfId="1" applyFont="1" applyAlignment="1">
      <alignment vertical="top"/>
    </xf>
    <xf numFmtId="0" fontId="34" fillId="0" borderId="0" xfId="1" applyFont="1" applyAlignment="1">
      <alignment vertical="top" wrapText="1"/>
    </xf>
    <xf numFmtId="0" fontId="34" fillId="0" borderId="0" xfId="1" applyFont="1" applyAlignment="1">
      <alignment horizontal="left" vertical="top" wrapText="1"/>
    </xf>
    <xf numFmtId="0" fontId="39" fillId="0" borderId="0" xfId="1" applyFont="1" applyAlignment="1">
      <alignment horizontal="justify" vertical="top"/>
    </xf>
    <xf numFmtId="0" fontId="35" fillId="0" borderId="0" xfId="1" applyFont="1" applyAlignment="1">
      <alignment horizontal="right" vertical="top"/>
    </xf>
    <xf numFmtId="49" fontId="35" fillId="0" borderId="0" xfId="1" applyNumberFormat="1" applyFont="1" applyAlignment="1">
      <alignment horizontal="justify" vertical="top"/>
    </xf>
    <xf numFmtId="0" fontId="35" fillId="6" borderId="1" xfId="1" applyFont="1" applyFill="1" applyBorder="1" applyAlignment="1" applyProtection="1">
      <alignment horizontal="center" vertical="center" wrapText="1"/>
      <protection locked="0"/>
    </xf>
    <xf numFmtId="0" fontId="34" fillId="0" borderId="17" xfId="1" applyFont="1" applyBorder="1" applyProtection="1">
      <protection locked="0"/>
    </xf>
    <xf numFmtId="0" fontId="34" fillId="0" borderId="0" xfId="1" applyFont="1" applyProtection="1">
      <protection locked="0"/>
    </xf>
    <xf numFmtId="0" fontId="34" fillId="8" borderId="1" xfId="1" applyFont="1" applyFill="1" applyBorder="1" applyAlignment="1" applyProtection="1">
      <alignment horizontal="justify" vertical="center" wrapText="1"/>
      <protection locked="0"/>
    </xf>
    <xf numFmtId="0" fontId="34" fillId="8" borderId="1" xfId="1" applyFont="1" applyFill="1" applyBorder="1" applyAlignment="1" applyProtection="1">
      <alignment horizontal="justify" vertical="center"/>
      <protection locked="0"/>
    </xf>
    <xf numFmtId="165" fontId="34" fillId="8" borderId="1" xfId="5" applyNumberFormat="1" applyFont="1" applyFill="1" applyBorder="1" applyAlignment="1" applyProtection="1">
      <alignment horizontal="justify" vertical="center" wrapText="1"/>
      <protection locked="0"/>
    </xf>
    <xf numFmtId="4" fontId="34" fillId="8" borderId="1" xfId="1" applyNumberFormat="1" applyFont="1" applyFill="1" applyBorder="1" applyAlignment="1" applyProtection="1">
      <alignment horizontal="right" vertical="center"/>
      <protection locked="0"/>
    </xf>
    <xf numFmtId="9" fontId="34" fillId="8" borderId="1" xfId="6" applyFont="1" applyFill="1" applyBorder="1" applyAlignment="1" applyProtection="1">
      <alignment horizontal="justify" vertical="center" wrapText="1"/>
      <protection locked="0"/>
    </xf>
    <xf numFmtId="4" fontId="34" fillId="0" borderId="17" xfId="3" applyNumberFormat="1" applyFont="1" applyBorder="1" applyAlignment="1" applyProtection="1">
      <alignment horizontal="right" vertical="center" wrapText="1"/>
      <protection locked="0"/>
    </xf>
    <xf numFmtId="4" fontId="34" fillId="0" borderId="0" xfId="3" applyNumberFormat="1" applyFont="1" applyAlignment="1" applyProtection="1">
      <alignment horizontal="right" vertical="center" wrapText="1"/>
      <protection locked="0"/>
    </xf>
    <xf numFmtId="0" fontId="34" fillId="0" borderId="0" xfId="1" applyFont="1" applyAlignment="1">
      <alignment horizontal="justify"/>
    </xf>
    <xf numFmtId="0" fontId="34" fillId="0" borderId="0" xfId="1" applyFont="1" applyAlignment="1">
      <alignment horizontal="justify" vertical="top" wrapText="1"/>
    </xf>
    <xf numFmtId="4" fontId="34" fillId="0" borderId="0" xfId="1" applyNumberFormat="1" applyFont="1" applyAlignment="1">
      <alignment horizontal="justify" vertical="top" wrapText="1"/>
    </xf>
    <xf numFmtId="165" fontId="34" fillId="8" borderId="1" xfId="1" applyNumberFormat="1" applyFont="1" applyFill="1" applyBorder="1" applyAlignment="1" applyProtection="1">
      <alignment horizontal="justify" vertical="center" wrapText="1"/>
      <protection locked="0"/>
    </xf>
    <xf numFmtId="16" fontId="35" fillId="0" borderId="0" xfId="1" applyNumberFormat="1" applyFont="1" applyAlignment="1">
      <alignment horizontal="justify" vertical="top"/>
    </xf>
    <xf numFmtId="0" fontId="35" fillId="0" borderId="1" xfId="0" applyFont="1" applyBorder="1" applyAlignment="1">
      <alignment horizontal="center" vertical="center" wrapText="1"/>
    </xf>
    <xf numFmtId="0" fontId="34" fillId="0" borderId="1" xfId="0" applyFont="1" applyBorder="1" applyAlignment="1">
      <alignment vertical="center" wrapText="1"/>
    </xf>
    <xf numFmtId="0" fontId="34" fillId="0" borderId="1" xfId="0" applyFont="1" applyBorder="1" applyAlignment="1">
      <alignment vertical="center"/>
    </xf>
    <xf numFmtId="0" fontId="41" fillId="0" borderId="0" xfId="1" applyFont="1"/>
    <xf numFmtId="0" fontId="35" fillId="0" borderId="8" xfId="1" applyFont="1" applyBorder="1" applyAlignment="1">
      <alignment horizontal="center"/>
    </xf>
    <xf numFmtId="0" fontId="34" fillId="0" borderId="9" xfId="1" applyFont="1" applyBorder="1" applyAlignment="1">
      <alignment horizontal="left" vertical="top" wrapText="1"/>
    </xf>
    <xf numFmtId="0" fontId="34" fillId="0" borderId="9" xfId="1" applyFont="1" applyBorder="1" applyAlignment="1">
      <alignment horizontal="left" vertical="center" wrapText="1"/>
    </xf>
    <xf numFmtId="0" fontId="35" fillId="0" borderId="8" xfId="1" applyFont="1" applyBorder="1" applyAlignment="1">
      <alignment horizontal="center" vertical="top"/>
    </xf>
    <xf numFmtId="0" fontId="41" fillId="0" borderId="8" xfId="1" applyFont="1" applyBorder="1" applyAlignment="1">
      <alignment wrapText="1"/>
    </xf>
    <xf numFmtId="0" fontId="41" fillId="0" borderId="3" xfId="1" applyFont="1" applyBorder="1" applyAlignment="1">
      <alignment vertical="center" wrapText="1"/>
    </xf>
    <xf numFmtId="0" fontId="42" fillId="0" borderId="0" xfId="1" applyFont="1" applyProtection="1">
      <protection locked="0"/>
    </xf>
    <xf numFmtId="0" fontId="43" fillId="0" borderId="0" xfId="0" applyFont="1"/>
    <xf numFmtId="1" fontId="0" fillId="5" borderId="2" xfId="6" applyNumberFormat="1" applyFont="1" applyFill="1" applyBorder="1" applyAlignment="1" applyProtection="1">
      <alignment horizontal="left" vertical="center"/>
      <protection locked="0"/>
    </xf>
    <xf numFmtId="9" fontId="34" fillId="6" borderId="1" xfId="6" applyFont="1" applyFill="1" applyBorder="1" applyAlignment="1" applyProtection="1">
      <alignment horizontal="right" vertical="center"/>
      <protection locked="0"/>
    </xf>
    <xf numFmtId="0" fontId="34" fillId="8" borderId="1" xfId="1" applyFont="1" applyFill="1" applyBorder="1" applyAlignment="1" applyProtection="1">
      <alignment horizontal="center" vertical="center" wrapText="1"/>
      <protection locked="0"/>
    </xf>
    <xf numFmtId="0" fontId="34" fillId="8" borderId="1" xfId="1" applyFont="1" applyFill="1" applyBorder="1" applyAlignment="1" applyProtection="1">
      <alignment horizontal="center" vertical="center"/>
      <protection locked="0"/>
    </xf>
    <xf numFmtId="165" fontId="34" fillId="8" borderId="1" xfId="5" applyNumberFormat="1" applyFont="1" applyFill="1" applyBorder="1" applyAlignment="1" applyProtection="1">
      <alignment horizontal="center" vertical="center" wrapText="1"/>
      <protection locked="0"/>
    </xf>
    <xf numFmtId="4" fontId="34" fillId="8" borderId="1" xfId="1" applyNumberFormat="1" applyFont="1" applyFill="1" applyBorder="1" applyAlignment="1" applyProtection="1">
      <alignment horizontal="center" vertical="center"/>
      <protection locked="0"/>
    </xf>
    <xf numFmtId="9" fontId="34" fillId="8" borderId="1" xfId="6" applyFont="1" applyFill="1" applyBorder="1" applyAlignment="1" applyProtection="1">
      <alignment horizontal="center" vertical="center" wrapText="1"/>
      <protection locked="0"/>
    </xf>
    <xf numFmtId="165" fontId="34" fillId="8" borderId="1" xfId="1" applyNumberFormat="1" applyFont="1" applyFill="1" applyBorder="1" applyAlignment="1" applyProtection="1">
      <alignment horizontal="center" vertical="center" wrapText="1"/>
      <protection locked="0"/>
    </xf>
    <xf numFmtId="0" fontId="47" fillId="0" borderId="0" xfId="1" applyFont="1" applyAlignment="1" applyProtection="1">
      <alignment vertical="center"/>
      <protection locked="0"/>
    </xf>
    <xf numFmtId="9" fontId="34" fillId="6" borderId="1" xfId="6" applyFont="1" applyFill="1" applyBorder="1" applyAlignment="1" applyProtection="1">
      <alignment horizontal="center" vertical="center" wrapText="1"/>
      <protection locked="0"/>
    </xf>
    <xf numFmtId="4" fontId="34" fillId="6" borderId="2" xfId="3" applyNumberFormat="1" applyFont="1" applyFill="1" applyBorder="1" applyAlignment="1" applyProtection="1">
      <alignment horizontal="center" vertical="center" wrapText="1"/>
      <protection locked="0"/>
    </xf>
    <xf numFmtId="4" fontId="34" fillId="6" borderId="6" xfId="3" applyNumberFormat="1" applyFont="1" applyFill="1" applyBorder="1" applyAlignment="1" applyProtection="1">
      <alignment horizontal="center" vertical="center" wrapText="1"/>
      <protection locked="0"/>
    </xf>
    <xf numFmtId="0" fontId="34" fillId="6" borderId="6" xfId="1" applyFont="1" applyFill="1" applyBorder="1" applyAlignment="1" applyProtection="1">
      <alignment horizontal="left" vertical="center" wrapText="1"/>
      <protection locked="0"/>
    </xf>
    <xf numFmtId="0" fontId="34" fillId="0" borderId="1" xfId="1" applyFont="1" applyBorder="1" applyAlignment="1" applyProtection="1">
      <alignment horizontal="justify" vertical="center" wrapText="1"/>
      <protection locked="0"/>
    </xf>
    <xf numFmtId="0" fontId="34" fillId="0" borderId="1" xfId="1" applyFont="1" applyBorder="1" applyAlignment="1" applyProtection="1">
      <alignment horizontal="left" vertical="center" wrapText="1"/>
      <protection locked="0"/>
    </xf>
    <xf numFmtId="49" fontId="35" fillId="0" borderId="1" xfId="1" applyNumberFormat="1" applyFont="1" applyBorder="1" applyAlignment="1" applyProtection="1">
      <alignment horizontal="center" vertical="center" wrapText="1"/>
      <protection locked="0"/>
    </xf>
    <xf numFmtId="165" fontId="34" fillId="0" borderId="1" xfId="5" applyNumberFormat="1" applyFont="1" applyBorder="1" applyAlignment="1" applyProtection="1">
      <alignment horizontal="right" vertical="center" wrapText="1"/>
      <protection locked="0"/>
    </xf>
    <xf numFmtId="4" fontId="34" fillId="0" borderId="1" xfId="3" applyNumberFormat="1" applyFont="1" applyBorder="1" applyAlignment="1" applyProtection="1">
      <alignment horizontal="right" vertical="center" wrapText="1"/>
      <protection locked="0"/>
    </xf>
    <xf numFmtId="9" fontId="34" fillId="0" borderId="1" xfId="6" applyFont="1" applyBorder="1" applyAlignment="1" applyProtection="1">
      <alignment horizontal="left" vertical="center" wrapText="1"/>
      <protection locked="0"/>
    </xf>
    <xf numFmtId="4" fontId="34" fillId="0" borderId="1" xfId="3" applyNumberFormat="1" applyFont="1" applyBorder="1" applyAlignment="1" applyProtection="1">
      <alignment horizontal="center" vertical="center" wrapText="1"/>
      <protection locked="0"/>
    </xf>
    <xf numFmtId="14" fontId="36" fillId="0" borderId="1" xfId="3" applyNumberFormat="1" applyFont="1" applyBorder="1" applyAlignment="1" applyProtection="1">
      <alignment horizontal="right" vertical="center" wrapText="1"/>
      <protection locked="0"/>
    </xf>
    <xf numFmtId="0" fontId="34" fillId="0" borderId="1" xfId="1" applyFont="1" applyBorder="1" applyAlignment="1" applyProtection="1">
      <alignment vertical="center"/>
      <protection locked="0"/>
    </xf>
    <xf numFmtId="9" fontId="34" fillId="0" borderId="1" xfId="6" applyFont="1" applyBorder="1" applyAlignment="1" applyProtection="1">
      <alignment horizontal="right" vertical="center"/>
      <protection locked="0"/>
    </xf>
    <xf numFmtId="0" fontId="34" fillId="0" borderId="14" xfId="1" applyFont="1" applyBorder="1" applyAlignment="1" applyProtection="1">
      <alignment horizontal="center" vertical="center" wrapText="1"/>
      <protection locked="0"/>
    </xf>
    <xf numFmtId="165" fontId="34" fillId="0" borderId="14" xfId="5" applyNumberFormat="1" applyFont="1" applyBorder="1" applyAlignment="1" applyProtection="1">
      <alignment horizontal="right" vertical="center" wrapText="1"/>
      <protection locked="0"/>
    </xf>
    <xf numFmtId="4" fontId="34" fillId="0" borderId="14" xfId="1" applyNumberFormat="1" applyFont="1" applyBorder="1" applyAlignment="1" applyProtection="1">
      <alignment horizontal="right" vertical="center"/>
      <protection locked="0"/>
    </xf>
    <xf numFmtId="0" fontId="34" fillId="0" borderId="14" xfId="1" applyFont="1" applyBorder="1" applyAlignment="1" applyProtection="1">
      <alignment horizontal="justify" vertical="center" wrapText="1"/>
      <protection locked="0"/>
    </xf>
    <xf numFmtId="0" fontId="34" fillId="0" borderId="14" xfId="1" applyFont="1" applyBorder="1" applyAlignment="1" applyProtection="1">
      <alignment horizontal="left" vertical="center" wrapText="1"/>
      <protection locked="0"/>
    </xf>
    <xf numFmtId="49" fontId="35" fillId="0" borderId="14" xfId="1" applyNumberFormat="1" applyFont="1" applyBorder="1" applyAlignment="1" applyProtection="1">
      <alignment horizontal="center" vertical="center" wrapText="1"/>
      <protection locked="0"/>
    </xf>
    <xf numFmtId="0" fontId="34" fillId="6" borderId="6" xfId="1" applyFont="1" applyFill="1" applyBorder="1" applyAlignment="1" applyProtection="1">
      <alignment horizontal="center" vertical="center" wrapText="1"/>
      <protection locked="0"/>
    </xf>
    <xf numFmtId="14" fontId="36" fillId="0" borderId="14" xfId="3" applyNumberFormat="1" applyFont="1" applyBorder="1" applyAlignment="1" applyProtection="1">
      <alignment horizontal="right" vertical="center" wrapText="1"/>
      <protection locked="0"/>
    </xf>
    <xf numFmtId="0" fontId="34" fillId="0" borderId="14" xfId="1" applyFont="1" applyBorder="1" applyAlignment="1" applyProtection="1">
      <alignment vertical="center"/>
      <protection locked="0"/>
    </xf>
    <xf numFmtId="0" fontId="34" fillId="6" borderId="7" xfId="1" applyFont="1" applyFill="1" applyBorder="1" applyAlignment="1" applyProtection="1">
      <alignment vertical="center"/>
      <protection locked="0"/>
    </xf>
    <xf numFmtId="0" fontId="34" fillId="0" borderId="15" xfId="1" applyFont="1" applyBorder="1" applyAlignment="1" applyProtection="1">
      <alignment horizontal="justify" vertical="center" wrapText="1"/>
      <protection locked="0"/>
    </xf>
    <xf numFmtId="0" fontId="34" fillId="0" borderId="15" xfId="1" applyFont="1" applyBorder="1" applyAlignment="1" applyProtection="1">
      <alignment horizontal="left" vertical="center" wrapText="1"/>
      <protection locked="0"/>
    </xf>
    <xf numFmtId="49" fontId="35" fillId="0" borderId="15" xfId="1" applyNumberFormat="1" applyFont="1" applyBorder="1" applyAlignment="1" applyProtection="1">
      <alignment horizontal="center" vertical="center" wrapText="1"/>
      <protection locked="0"/>
    </xf>
    <xf numFmtId="0" fontId="34" fillId="0" borderId="15" xfId="1" applyFont="1" applyBorder="1" applyAlignment="1" applyProtection="1">
      <alignment horizontal="center" vertical="center" wrapText="1"/>
      <protection locked="0"/>
    </xf>
    <xf numFmtId="165" fontId="34" fillId="0" borderId="15" xfId="5" applyNumberFormat="1" applyFont="1" applyBorder="1" applyAlignment="1" applyProtection="1">
      <alignment horizontal="right" vertical="center" wrapText="1"/>
      <protection locked="0"/>
    </xf>
    <xf numFmtId="4" fontId="34" fillId="0" borderId="15" xfId="1" applyNumberFormat="1" applyFont="1" applyBorder="1" applyAlignment="1" applyProtection="1">
      <alignment horizontal="right" vertical="center"/>
      <protection locked="0"/>
    </xf>
    <xf numFmtId="49" fontId="35" fillId="6" borderId="6" xfId="1" applyNumberFormat="1" applyFont="1" applyFill="1" applyBorder="1" applyAlignment="1" applyProtection="1">
      <alignment horizontal="center" vertical="center" wrapText="1"/>
      <protection locked="0"/>
    </xf>
    <xf numFmtId="165" fontId="34" fillId="6" borderId="6" xfId="5" applyNumberFormat="1" applyFont="1" applyFill="1" applyBorder="1" applyAlignment="1" applyProtection="1">
      <alignment horizontal="right" vertical="center" wrapText="1"/>
      <protection locked="0"/>
    </xf>
    <xf numFmtId="4" fontId="34" fillId="6" borderId="7" xfId="1" applyNumberFormat="1" applyFont="1" applyFill="1" applyBorder="1" applyAlignment="1" applyProtection="1">
      <alignment horizontal="right" vertical="center"/>
      <protection locked="0"/>
    </xf>
    <xf numFmtId="14" fontId="36" fillId="0" borderId="15" xfId="3" applyNumberFormat="1" applyFont="1" applyBorder="1" applyAlignment="1" applyProtection="1">
      <alignment horizontal="right" vertical="center" wrapText="1"/>
      <protection locked="0"/>
    </xf>
    <xf numFmtId="0" fontId="34" fillId="0" borderId="15" xfId="1" applyFont="1" applyBorder="1" applyAlignment="1" applyProtection="1">
      <alignment vertical="center"/>
      <protection locked="0"/>
    </xf>
    <xf numFmtId="14" fontId="36" fillId="6" borderId="6" xfId="3" applyNumberFormat="1" applyFont="1" applyFill="1" applyBorder="1" applyAlignment="1" applyProtection="1">
      <alignment horizontal="right" vertical="center" wrapText="1"/>
      <protection locked="0"/>
    </xf>
    <xf numFmtId="0" fontId="34" fillId="6" borderId="6" xfId="1" applyFont="1" applyFill="1" applyBorder="1" applyAlignment="1" applyProtection="1">
      <alignment vertical="center" wrapText="1"/>
      <protection locked="0"/>
    </xf>
    <xf numFmtId="0" fontId="34" fillId="6" borderId="7" xfId="1" applyFont="1" applyFill="1" applyBorder="1" applyAlignment="1" applyProtection="1">
      <alignment vertical="center" wrapText="1"/>
      <protection locked="0"/>
    </xf>
    <xf numFmtId="0" fontId="34" fillId="6" borderId="2" xfId="1" applyFont="1" applyFill="1" applyBorder="1" applyAlignment="1" applyProtection="1">
      <alignment vertical="center"/>
      <protection locked="0"/>
    </xf>
    <xf numFmtId="0" fontId="34" fillId="6" borderId="6" xfId="1" applyFont="1" applyFill="1" applyBorder="1" applyAlignment="1" applyProtection="1">
      <alignment horizontal="justify" vertical="center"/>
      <protection locked="0"/>
    </xf>
    <xf numFmtId="165" fontId="34" fillId="6" borderId="6" xfId="5" applyNumberFormat="1" applyFont="1" applyFill="1" applyBorder="1" applyAlignment="1" applyProtection="1">
      <alignment horizontal="justify" vertical="center" wrapText="1"/>
      <protection locked="0"/>
    </xf>
    <xf numFmtId="0" fontId="34" fillId="8" borderId="1" xfId="6" applyNumberFormat="1" applyFont="1" applyFill="1" applyBorder="1" applyAlignment="1" applyProtection="1">
      <alignment horizontal="center" vertical="center" wrapText="1"/>
      <protection locked="0"/>
    </xf>
    <xf numFmtId="0" fontId="34" fillId="6" borderId="1" xfId="6" applyNumberFormat="1" applyFont="1" applyFill="1" applyBorder="1" applyAlignment="1" applyProtection="1">
      <alignment horizontal="center" vertical="center" wrapText="1"/>
      <protection locked="0"/>
    </xf>
    <xf numFmtId="165" fontId="34" fillId="6" borderId="6" xfId="1" applyNumberFormat="1" applyFont="1" applyFill="1" applyBorder="1" applyAlignment="1" applyProtection="1">
      <alignment horizontal="justify" vertical="center" wrapText="1"/>
      <protection locked="0"/>
    </xf>
    <xf numFmtId="0" fontId="34" fillId="0" borderId="19" xfId="1" applyFont="1" applyBorder="1" applyAlignment="1">
      <alignment vertical="center"/>
    </xf>
    <xf numFmtId="0" fontId="34" fillId="0" borderId="8" xfId="1" applyFont="1" applyBorder="1" applyAlignment="1">
      <alignment horizontal="center" vertical="center"/>
    </xf>
    <xf numFmtId="0" fontId="0" fillId="0" borderId="1" xfId="0" applyBorder="1" applyAlignment="1" applyProtection="1">
      <alignment wrapText="1"/>
      <protection locked="0"/>
    </xf>
    <xf numFmtId="0" fontId="0" fillId="0" borderId="2" xfId="0" applyBorder="1" applyAlignment="1" applyProtection="1">
      <alignment vertical="center" wrapText="1"/>
      <protection locked="0"/>
    </xf>
    <xf numFmtId="0" fontId="0" fillId="0" borderId="1" xfId="0" applyBorder="1" applyAlignment="1" applyProtection="1">
      <alignment vertical="center" wrapText="1"/>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wrapText="1"/>
      <protection locked="0"/>
    </xf>
    <xf numFmtId="0" fontId="8" fillId="0" borderId="1" xfId="0" applyFont="1" applyBorder="1" applyAlignment="1">
      <alignment vertical="center" wrapText="1"/>
    </xf>
    <xf numFmtId="14" fontId="0" fillId="0" borderId="2" xfId="0" applyNumberFormat="1" applyBorder="1" applyAlignment="1" applyProtection="1">
      <alignment horizontal="left" vertical="center" wrapText="1"/>
      <protection locked="0"/>
    </xf>
    <xf numFmtId="0" fontId="7" fillId="4" borderId="1" xfId="0" applyFont="1" applyFill="1" applyBorder="1" applyAlignment="1" applyProtection="1">
      <alignment vertical="center"/>
      <protection locked="0"/>
    </xf>
    <xf numFmtId="0" fontId="0" fillId="0" borderId="1" xfId="0" applyBorder="1" applyAlignment="1">
      <alignment horizontal="left" vertical="center"/>
    </xf>
    <xf numFmtId="0" fontId="7" fillId="0" borderId="1" xfId="0" applyFont="1" applyBorder="1" applyAlignment="1">
      <alignment horizontal="left" vertical="center" wrapText="1"/>
    </xf>
    <xf numFmtId="0" fontId="7" fillId="0" borderId="1" xfId="0" applyFont="1" applyBorder="1" applyAlignment="1" applyProtection="1">
      <alignment horizontal="left" vertical="center" wrapText="1"/>
      <protection locked="0"/>
    </xf>
    <xf numFmtId="0" fontId="35" fillId="6" borderId="2" xfId="1" applyFont="1" applyFill="1" applyBorder="1" applyAlignment="1">
      <alignment horizontal="left" vertical="center"/>
    </xf>
    <xf numFmtId="0" fontId="35" fillId="6" borderId="6" xfId="1" applyFont="1" applyFill="1" applyBorder="1" applyAlignment="1">
      <alignment horizontal="left" vertical="center"/>
    </xf>
    <xf numFmtId="0" fontId="34" fillId="6" borderId="6" xfId="1" applyFont="1" applyFill="1" applyBorder="1" applyAlignment="1">
      <alignment horizontal="center" vertical="center" wrapText="1"/>
    </xf>
    <xf numFmtId="164" fontId="35" fillId="6" borderId="6" xfId="5" applyFont="1" applyFill="1" applyBorder="1" applyAlignment="1">
      <alignment horizontal="right" vertical="center"/>
    </xf>
    <xf numFmtId="1" fontId="35" fillId="6" borderId="7" xfId="1" applyNumberFormat="1" applyFont="1" applyFill="1" applyBorder="1" applyAlignment="1">
      <alignment horizontal="right" vertical="center"/>
    </xf>
    <xf numFmtId="4" fontId="35" fillId="6" borderId="7" xfId="1" applyNumberFormat="1" applyFont="1" applyFill="1" applyBorder="1" applyAlignment="1">
      <alignment horizontal="right" vertical="center"/>
    </xf>
    <xf numFmtId="4" fontId="37" fillId="6" borderId="1" xfId="1" applyNumberFormat="1" applyFont="1" applyFill="1" applyBorder="1" applyAlignment="1">
      <alignment horizontal="right" vertical="center"/>
    </xf>
    <xf numFmtId="4" fontId="35" fillId="6" borderId="1" xfId="1" applyNumberFormat="1" applyFont="1" applyFill="1" applyBorder="1" applyAlignment="1">
      <alignment horizontal="right" vertical="center"/>
    </xf>
    <xf numFmtId="4" fontId="35" fillId="6" borderId="2" xfId="3" applyNumberFormat="1" applyFont="1" applyFill="1" applyBorder="1" applyAlignment="1">
      <alignment horizontal="right" vertical="center" wrapText="1"/>
    </xf>
    <xf numFmtId="4" fontId="34" fillId="6" borderId="6" xfId="3" applyNumberFormat="1" applyFont="1" applyFill="1" applyBorder="1" applyAlignment="1">
      <alignment horizontal="center" vertical="center" wrapText="1"/>
    </xf>
    <xf numFmtId="4" fontId="38" fillId="6" borderId="6" xfId="1" applyNumberFormat="1" applyFont="1" applyFill="1" applyBorder="1" applyAlignment="1">
      <alignment horizontal="right" vertical="center"/>
    </xf>
    <xf numFmtId="0" fontId="34" fillId="6" borderId="7" xfId="1" applyFont="1" applyFill="1" applyBorder="1" applyAlignment="1">
      <alignment vertical="center"/>
    </xf>
    <xf numFmtId="0" fontId="34" fillId="6" borderId="23" xfId="1" applyFont="1" applyFill="1" applyBorder="1" applyAlignment="1">
      <alignment vertical="top"/>
    </xf>
    <xf numFmtId="0" fontId="35" fillId="6" borderId="16" xfId="1" applyFont="1" applyFill="1" applyBorder="1" applyAlignment="1">
      <alignment horizontal="justify" vertical="top" wrapText="1"/>
    </xf>
    <xf numFmtId="0" fontId="35" fillId="6" borderId="6" xfId="1" applyFont="1" applyFill="1" applyBorder="1" applyAlignment="1">
      <alignment horizontal="justify" vertical="top" wrapText="1"/>
    </xf>
    <xf numFmtId="0" fontId="34" fillId="6" borderId="2" xfId="1" applyFont="1" applyFill="1" applyBorder="1" applyAlignment="1">
      <alignment vertical="top"/>
    </xf>
    <xf numFmtId="0" fontId="34" fillId="6" borderId="6" xfId="1" applyFont="1" applyFill="1" applyBorder="1" applyAlignment="1">
      <alignment vertical="top" wrapText="1"/>
    </xf>
    <xf numFmtId="4" fontId="34" fillId="6" borderId="6" xfId="1" applyNumberFormat="1" applyFont="1" applyFill="1" applyBorder="1" applyAlignment="1">
      <alignment horizontal="right" vertical="top" wrapText="1"/>
    </xf>
    <xf numFmtId="0" fontId="34" fillId="6" borderId="6" xfId="1" applyFont="1" applyFill="1" applyBorder="1" applyAlignment="1">
      <alignment horizontal="left" vertical="top" wrapText="1"/>
    </xf>
    <xf numFmtId="0" fontId="34" fillId="6" borderId="6" xfId="1" applyFont="1" applyFill="1" applyBorder="1"/>
    <xf numFmtId="0" fontId="34" fillId="6" borderId="6" xfId="1" applyFont="1" applyFill="1" applyBorder="1" applyAlignment="1">
      <alignment horizontal="justify"/>
    </xf>
    <xf numFmtId="0" fontId="13" fillId="0" borderId="0" xfId="1" applyFont="1" applyAlignment="1">
      <alignment vertical="top"/>
    </xf>
    <xf numFmtId="0" fontId="12" fillId="9" borderId="0" xfId="0" applyFont="1" applyFill="1" applyAlignment="1">
      <alignment horizontal="center" vertical="center"/>
    </xf>
    <xf numFmtId="0" fontId="0" fillId="0" borderId="0" xfId="0" applyAlignment="1">
      <alignment horizontal="center"/>
    </xf>
    <xf numFmtId="0" fontId="15" fillId="0" borderId="0" xfId="0" applyFont="1"/>
    <xf numFmtId="0" fontId="9" fillId="0" borderId="0" xfId="1" applyFont="1" applyAlignment="1" applyProtection="1">
      <alignment vertical="top" wrapText="1"/>
      <protection locked="0"/>
    </xf>
    <xf numFmtId="0" fontId="9" fillId="0" borderId="0" xfId="1" applyFont="1" applyAlignment="1" applyProtection="1">
      <alignment vertical="top"/>
      <protection locked="0"/>
    </xf>
    <xf numFmtId="0" fontId="49" fillId="11" borderId="0" xfId="1" applyFont="1" applyFill="1" applyAlignment="1">
      <alignment vertical="top"/>
    </xf>
    <xf numFmtId="0" fontId="50" fillId="11" borderId="0" xfId="0" applyFont="1" applyFill="1" applyAlignment="1">
      <alignment horizontal="left" vertical="top"/>
    </xf>
    <xf numFmtId="0" fontId="51" fillId="11" borderId="0" xfId="0" applyFont="1" applyFill="1" applyAlignment="1">
      <alignment horizontal="left" vertical="top"/>
    </xf>
    <xf numFmtId="0" fontId="50" fillId="11" borderId="0" xfId="1" applyFont="1" applyFill="1" applyAlignment="1">
      <alignment horizontal="justify" vertical="top" wrapText="1"/>
    </xf>
    <xf numFmtId="0" fontId="51" fillId="11" borderId="0" xfId="0" applyFont="1" applyFill="1" applyAlignment="1">
      <alignment vertical="center"/>
    </xf>
    <xf numFmtId="0" fontId="49" fillId="11" borderId="0" xfId="1" applyFont="1" applyFill="1" applyAlignment="1">
      <alignment vertical="top" wrapText="1"/>
    </xf>
    <xf numFmtId="0" fontId="49" fillId="0" borderId="0" xfId="1" applyFont="1" applyAlignment="1">
      <alignment horizontal="left" vertical="top" wrapText="1"/>
    </xf>
    <xf numFmtId="0" fontId="51" fillId="0" borderId="0" xfId="0" applyFont="1" applyAlignment="1">
      <alignment horizontal="left" vertical="top" wrapText="1"/>
    </xf>
    <xf numFmtId="0" fontId="49" fillId="0" borderId="0" xfId="1" applyFont="1" applyAlignment="1">
      <alignment vertical="top" wrapText="1"/>
    </xf>
    <xf numFmtId="0" fontId="50" fillId="0" borderId="0" xfId="0" applyFont="1" applyAlignment="1">
      <alignment horizontal="left" vertical="top"/>
    </xf>
    <xf numFmtId="0" fontId="50" fillId="0" borderId="0" xfId="1" applyFont="1" applyAlignment="1">
      <alignment horizontal="justify" vertical="top" wrapText="1"/>
    </xf>
    <xf numFmtId="0" fontId="50" fillId="0" borderId="0" xfId="1" applyFont="1" applyAlignment="1">
      <alignment horizontal="left" vertical="top" wrapText="1"/>
    </xf>
    <xf numFmtId="0" fontId="50" fillId="0" borderId="0" xfId="0" applyFont="1"/>
    <xf numFmtId="0" fontId="50" fillId="0" borderId="0" xfId="1" applyFont="1" applyAlignment="1">
      <alignment vertical="top" wrapText="1"/>
    </xf>
    <xf numFmtId="0" fontId="52" fillId="0" borderId="0" xfId="1" applyFont="1" applyAlignment="1">
      <alignment horizontal="left" vertical="top" wrapText="1"/>
    </xf>
    <xf numFmtId="0" fontId="0" fillId="0" borderId="0" xfId="0" applyAlignment="1">
      <alignment horizontal="left"/>
    </xf>
    <xf numFmtId="0" fontId="0" fillId="0" borderId="24" xfId="0" applyBorder="1" applyAlignment="1" applyProtection="1">
      <alignment horizontal="center" vertical="center"/>
      <protection locked="0"/>
    </xf>
    <xf numFmtId="0" fontId="0" fillId="0" borderId="24" xfId="0" applyBorder="1" applyAlignment="1">
      <alignment horizontal="center" vertical="center"/>
    </xf>
    <xf numFmtId="0" fontId="53" fillId="0" borderId="22" xfId="0" applyFont="1" applyBorder="1" applyAlignment="1" applyProtection="1">
      <alignment vertical="center" wrapText="1"/>
      <protection locked="0"/>
    </xf>
    <xf numFmtId="0" fontId="7" fillId="0" borderId="0" xfId="0" applyFont="1" applyAlignment="1">
      <alignment vertical="center"/>
    </xf>
    <xf numFmtId="0" fontId="7" fillId="0" borderId="0" xfId="0" applyFont="1" applyAlignment="1">
      <alignment vertical="center" wrapText="1"/>
    </xf>
    <xf numFmtId="0" fontId="0" fillId="0" borderId="0" xfId="0" applyAlignment="1">
      <alignment vertical="center" wrapText="1"/>
    </xf>
    <xf numFmtId="0" fontId="7" fillId="0" borderId="16" xfId="0" applyFont="1" applyBorder="1" applyAlignment="1">
      <alignment vertical="center"/>
    </xf>
    <xf numFmtId="0" fontId="8" fillId="0" borderId="16" xfId="0" applyFont="1" applyBorder="1" applyAlignment="1">
      <alignment vertical="center" wrapText="1"/>
    </xf>
    <xf numFmtId="14" fontId="0" fillId="0" borderId="16" xfId="0" applyNumberFormat="1" applyBorder="1" applyAlignment="1">
      <alignment horizontal="left" vertical="center" wrapText="1"/>
    </xf>
    <xf numFmtId="0" fontId="7" fillId="0" borderId="14" xfId="0" applyFont="1" applyBorder="1" applyAlignment="1">
      <alignment vertical="center"/>
    </xf>
    <xf numFmtId="0" fontId="7" fillId="0" borderId="14" xfId="0" applyFont="1" applyBorder="1" applyAlignment="1">
      <alignment vertical="center" wrapText="1"/>
    </xf>
    <xf numFmtId="0" fontId="0" fillId="5" borderId="22" xfId="0" applyFill="1" applyBorder="1" applyAlignment="1">
      <alignment horizontal="left" vertical="center" wrapText="1"/>
    </xf>
    <xf numFmtId="0" fontId="0" fillId="0" borderId="0" xfId="0" applyAlignment="1">
      <alignment vertical="center"/>
    </xf>
    <xf numFmtId="0" fontId="0" fillId="0" borderId="16" xfId="0" applyBorder="1" applyAlignment="1">
      <alignment vertical="center"/>
    </xf>
    <xf numFmtId="165" fontId="34" fillId="0" borderId="1" xfId="5" applyNumberFormat="1" applyFont="1" applyBorder="1" applyAlignment="1" applyProtection="1">
      <alignment horizontal="center" vertical="center" wrapText="1"/>
      <protection locked="0"/>
    </xf>
    <xf numFmtId="0" fontId="54" fillId="11" borderId="0" xfId="0" applyFont="1" applyFill="1"/>
    <xf numFmtId="0" fontId="52" fillId="0" borderId="0" xfId="1" applyFont="1" applyAlignment="1">
      <alignment vertical="top" wrapText="1"/>
    </xf>
    <xf numFmtId="0" fontId="13" fillId="0" borderId="0" xfId="1" applyFont="1" applyAlignment="1">
      <alignment vertical="top" wrapText="1"/>
    </xf>
    <xf numFmtId="0" fontId="13" fillId="0" borderId="0" xfId="0" applyFont="1" applyAlignment="1">
      <alignment vertical="top" wrapText="1"/>
    </xf>
    <xf numFmtId="0" fontId="13" fillId="0" borderId="0" xfId="1" applyFont="1" applyAlignment="1">
      <alignment horizontal="left" vertical="top" wrapText="1"/>
    </xf>
    <xf numFmtId="0" fontId="28" fillId="0" borderId="0" xfId="0" applyFont="1" applyAlignment="1">
      <alignment vertical="top" wrapText="1"/>
    </xf>
    <xf numFmtId="0" fontId="45" fillId="0" borderId="0" xfId="0" applyFont="1" applyAlignment="1">
      <alignment horizontal="left" vertical="top" wrapText="1"/>
    </xf>
    <xf numFmtId="0" fontId="14" fillId="0" borderId="0" xfId="0" applyFont="1" applyAlignment="1">
      <alignment horizontal="left" vertical="top" wrapText="1"/>
    </xf>
    <xf numFmtId="0" fontId="15" fillId="0" borderId="0" xfId="1" applyFont="1" applyAlignment="1">
      <alignment vertical="top" wrapText="1"/>
    </xf>
    <xf numFmtId="0" fontId="15" fillId="0" borderId="0" xfId="0" applyFont="1" applyAlignment="1">
      <alignment horizontal="left" vertical="top" wrapText="1"/>
    </xf>
    <xf numFmtId="0" fontId="46" fillId="0" borderId="0" xfId="0" applyFont="1" applyAlignment="1">
      <alignment horizontal="left" vertical="top" wrapText="1"/>
    </xf>
    <xf numFmtId="0" fontId="0" fillId="0" borderId="0" xfId="0" applyAlignment="1">
      <alignment horizontal="left" vertical="top" wrapText="1"/>
    </xf>
    <xf numFmtId="0" fontId="16" fillId="0" borderId="0" xfId="1" applyFont="1" applyAlignment="1">
      <alignment vertical="top" wrapText="1"/>
    </xf>
    <xf numFmtId="0" fontId="32" fillId="0" borderId="0" xfId="1" applyFont="1" applyAlignment="1">
      <alignment vertical="top" wrapText="1"/>
    </xf>
    <xf numFmtId="0" fontId="14" fillId="0" borderId="0" xfId="1" applyFont="1" applyAlignment="1" applyProtection="1">
      <alignment vertical="top" wrapText="1"/>
      <protection locked="0"/>
    </xf>
    <xf numFmtId="0" fontId="11" fillId="0" borderId="0" xfId="1" applyFont="1" applyAlignment="1">
      <alignment vertical="top"/>
    </xf>
    <xf numFmtId="0" fontId="29" fillId="0" borderId="0" xfId="9" applyFont="1"/>
    <xf numFmtId="49" fontId="15" fillId="0" borderId="0" xfId="0" applyNumberFormat="1" applyFont="1"/>
    <xf numFmtId="0" fontId="14" fillId="0" borderId="0" xfId="1" applyFont="1" applyAlignment="1" applyProtection="1">
      <alignment vertical="top"/>
      <protection locked="0"/>
    </xf>
    <xf numFmtId="0" fontId="44" fillId="0" borderId="0" xfId="0" applyFont="1" applyAlignment="1">
      <alignment horizontal="left" vertical="top" wrapText="1"/>
    </xf>
    <xf numFmtId="0" fontId="17" fillId="0" borderId="0" xfId="1" applyFont="1" applyAlignment="1">
      <alignment vertical="top" wrapText="1"/>
    </xf>
    <xf numFmtId="0" fontId="15" fillId="0" borderId="0" xfId="1" applyFont="1" applyAlignment="1" applyProtection="1">
      <alignment vertical="top" wrapText="1"/>
      <protection locked="0"/>
    </xf>
    <xf numFmtId="0" fontId="15" fillId="0" borderId="0" xfId="1" applyFont="1" applyAlignment="1" applyProtection="1">
      <alignment vertical="top"/>
      <protection locked="0"/>
    </xf>
    <xf numFmtId="0" fontId="48" fillId="0" borderId="0" xfId="0" applyFont="1"/>
    <xf numFmtId="0" fontId="55" fillId="2" borderId="0" xfId="0" applyFont="1" applyFill="1" applyAlignment="1">
      <alignment horizontal="center" vertical="center"/>
    </xf>
    <xf numFmtId="0" fontId="55" fillId="2" borderId="0" xfId="0" applyFont="1" applyFill="1" applyAlignment="1">
      <alignment horizontal="center" vertical="center" wrapText="1"/>
    </xf>
    <xf numFmtId="0" fontId="56" fillId="2" borderId="0" xfId="0" applyFont="1" applyFill="1" applyAlignment="1">
      <alignment horizontal="center" vertical="center" wrapText="1"/>
    </xf>
    <xf numFmtId="0" fontId="57" fillId="0" borderId="0" xfId="0" applyFont="1" applyAlignment="1">
      <alignment horizontal="center" vertical="center" wrapText="1"/>
    </xf>
    <xf numFmtId="0" fontId="34" fillId="0" borderId="8" xfId="1" applyFont="1" applyBorder="1" applyAlignment="1">
      <alignment horizontal="left" wrapText="1"/>
    </xf>
    <xf numFmtId="0" fontId="34" fillId="0" borderId="0" xfId="1" applyFont="1" applyAlignment="1">
      <alignment horizontal="left" wrapText="1"/>
    </xf>
    <xf numFmtId="0" fontId="34" fillId="0" borderId="9" xfId="1" applyFont="1" applyBorder="1" applyAlignment="1">
      <alignment horizontal="left" wrapText="1"/>
    </xf>
    <xf numFmtId="0" fontId="0" fillId="0" borderId="2" xfId="0" applyBorder="1" applyAlignment="1">
      <alignment wrapText="1"/>
    </xf>
    <xf numFmtId="0" fontId="35" fillId="0" borderId="0" xfId="1" applyFont="1" applyAlignment="1" applyProtection="1">
      <alignment horizontal="left" vertical="top"/>
      <protection hidden="1"/>
    </xf>
    <xf numFmtId="0" fontId="58" fillId="0" borderId="0" xfId="1" applyFont="1" applyAlignment="1">
      <alignment horizontal="justify" vertical="top"/>
    </xf>
    <xf numFmtId="0" fontId="59" fillId="0" borderId="0" xfId="1" applyFont="1" applyAlignment="1" applyProtection="1">
      <alignment horizontal="left" vertical="top" wrapText="1"/>
      <protection hidden="1"/>
    </xf>
    <xf numFmtId="0" fontId="34" fillId="0" borderId="0" xfId="1" applyFont="1" applyAlignment="1" applyProtection="1">
      <alignment horizontal="left" vertical="top" wrapText="1"/>
      <protection hidden="1"/>
    </xf>
    <xf numFmtId="0" fontId="7" fillId="4" borderId="2" xfId="0" applyFont="1" applyFill="1" applyBorder="1" applyAlignment="1" applyProtection="1">
      <alignment vertical="center" wrapText="1"/>
      <protection locked="0"/>
    </xf>
    <xf numFmtId="0" fontId="0" fillId="0" borderId="1" xfId="0" applyBorder="1" applyAlignment="1" applyProtection="1">
      <alignment horizontal="center"/>
      <protection locked="0"/>
    </xf>
    <xf numFmtId="49" fontId="7" fillId="4" borderId="1" xfId="0" applyNumberFormat="1" applyFont="1" applyFill="1" applyBorder="1" applyAlignment="1" applyProtection="1">
      <alignment vertical="center" wrapText="1"/>
      <protection locked="0"/>
    </xf>
    <xf numFmtId="0" fontId="35" fillId="0" borderId="16" xfId="1" applyFont="1" applyBorder="1" applyAlignment="1">
      <alignment horizontal="justify" vertical="top" wrapText="1"/>
    </xf>
    <xf numFmtId="0" fontId="35" fillId="0" borderId="0" xfId="1" applyFont="1" applyAlignment="1">
      <alignment horizontal="justify" vertical="top" wrapText="1"/>
    </xf>
    <xf numFmtId="0" fontId="34" fillId="0" borderId="0" xfId="1" applyFont="1" applyAlignment="1">
      <alignment horizontal="left" vertical="top" wrapText="1"/>
    </xf>
    <xf numFmtId="0" fontId="40" fillId="0" borderId="0" xfId="1" applyFont="1" applyAlignment="1">
      <alignment horizontal="left" vertical="top" wrapText="1"/>
    </xf>
    <xf numFmtId="0" fontId="35" fillId="0" borderId="0" xfId="1" applyFont="1" applyAlignment="1" applyProtection="1">
      <alignment horizontal="left" vertical="top" wrapText="1"/>
      <protection hidden="1"/>
    </xf>
    <xf numFmtId="0" fontId="35" fillId="0" borderId="0" xfId="1" applyFont="1" applyAlignment="1" applyProtection="1">
      <alignment horizontal="left" vertical="top"/>
      <protection hidden="1"/>
    </xf>
    <xf numFmtId="0" fontId="34" fillId="0" borderId="0" xfId="1" applyFont="1" applyAlignment="1">
      <alignment horizontal="justify" vertical="top" wrapText="1"/>
    </xf>
    <xf numFmtId="0" fontId="34" fillId="0" borderId="0" xfId="1" applyFont="1" applyAlignment="1" applyProtection="1">
      <alignment horizontal="left" vertical="top" wrapText="1"/>
      <protection hidden="1"/>
    </xf>
    <xf numFmtId="0" fontId="0" fillId="0" borderId="0" xfId="0" applyAlignment="1">
      <alignment horizontal="left" vertical="top"/>
    </xf>
    <xf numFmtId="0" fontId="34" fillId="0" borderId="0" xfId="1" applyFont="1" applyAlignment="1">
      <alignment horizontal="justify" vertical="top"/>
    </xf>
    <xf numFmtId="0" fontId="35" fillId="0" borderId="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4" fillId="0" borderId="2" xfId="0" applyFont="1" applyBorder="1" applyAlignment="1">
      <alignment horizontal="left" vertical="center" wrapText="1"/>
    </xf>
    <xf numFmtId="0" fontId="34" fillId="0" borderId="6" xfId="0" applyFont="1" applyBorder="1" applyAlignment="1">
      <alignment horizontal="left" vertical="center" wrapText="1"/>
    </xf>
    <xf numFmtId="0" fontId="34" fillId="0" borderId="7" xfId="0" applyFont="1" applyBorder="1" applyAlignment="1">
      <alignment horizontal="left" vertical="center" wrapText="1"/>
    </xf>
    <xf numFmtId="0" fontId="34" fillId="0" borderId="2" xfId="0" applyFont="1" applyBorder="1" applyAlignment="1">
      <alignment horizontal="left" vertical="top" wrapText="1"/>
    </xf>
    <xf numFmtId="0" fontId="34" fillId="0" borderId="6" xfId="0" applyFont="1" applyBorder="1" applyAlignment="1">
      <alignment horizontal="left" vertical="top"/>
    </xf>
    <xf numFmtId="0" fontId="34" fillId="0" borderId="7" xfId="0" applyFont="1" applyBorder="1" applyAlignment="1">
      <alignment horizontal="left" vertical="top"/>
    </xf>
    <xf numFmtId="0" fontId="35" fillId="0" borderId="10" xfId="1" applyFont="1" applyBorder="1" applyAlignment="1">
      <alignment horizontal="center" vertical="center"/>
    </xf>
    <xf numFmtId="0" fontId="35" fillId="0" borderId="11" xfId="1" applyFont="1" applyBorder="1" applyAlignment="1">
      <alignment horizontal="center" vertical="center"/>
    </xf>
    <xf numFmtId="0" fontId="35" fillId="0" borderId="12" xfId="1" applyFont="1" applyBorder="1" applyAlignment="1">
      <alignment horizontal="center" vertical="center"/>
    </xf>
    <xf numFmtId="0" fontId="35" fillId="0" borderId="0" xfId="1" applyFont="1" applyAlignment="1">
      <alignment horizontal="center"/>
    </xf>
    <xf numFmtId="0" fontId="34" fillId="0" borderId="8" xfId="1" applyFont="1" applyBorder="1" applyAlignment="1">
      <alignment horizontal="left" wrapText="1"/>
    </xf>
    <xf numFmtId="0" fontId="34" fillId="0" borderId="0" xfId="1" applyFont="1" applyAlignment="1">
      <alignment horizontal="left" wrapText="1"/>
    </xf>
    <xf numFmtId="0" fontId="34" fillId="0" borderId="9" xfId="1" applyFont="1" applyBorder="1" applyAlignment="1">
      <alignment horizontal="left" wrapText="1"/>
    </xf>
    <xf numFmtId="0" fontId="35" fillId="0" borderId="18" xfId="1" applyFont="1" applyBorder="1" applyAlignment="1">
      <alignment horizontal="center"/>
    </xf>
    <xf numFmtId="0" fontId="35" fillId="0" borderId="19" xfId="1" applyFont="1" applyBorder="1" applyAlignment="1">
      <alignment horizontal="center"/>
    </xf>
    <xf numFmtId="0" fontId="35" fillId="0" borderId="20" xfId="1" applyFont="1" applyBorder="1" applyAlignment="1">
      <alignment horizontal="center"/>
    </xf>
    <xf numFmtId="0" fontId="35" fillId="0" borderId="21" xfId="1" applyFont="1" applyBorder="1" applyAlignment="1">
      <alignment horizontal="center"/>
    </xf>
    <xf numFmtId="0" fontId="35" fillId="0" borderId="0" xfId="1" applyFont="1" applyAlignment="1">
      <alignment horizontal="left" wrapText="1"/>
    </xf>
    <xf numFmtId="0" fontId="35" fillId="0" borderId="8" xfId="1" applyFont="1" applyBorder="1" applyAlignment="1">
      <alignment horizontal="left" wrapText="1"/>
    </xf>
    <xf numFmtId="0" fontId="35" fillId="0" borderId="9" xfId="1" applyFont="1" applyBorder="1" applyAlignment="1">
      <alignment horizontal="left" wrapText="1"/>
    </xf>
    <xf numFmtId="0" fontId="34" fillId="0" borderId="8" xfId="1" applyFont="1" applyBorder="1" applyAlignment="1">
      <alignment horizontal="left" vertical="top" wrapText="1"/>
    </xf>
    <xf numFmtId="0" fontId="34" fillId="0" borderId="9" xfId="1" applyFont="1" applyBorder="1" applyAlignment="1">
      <alignment horizontal="left" vertical="top" wrapText="1"/>
    </xf>
    <xf numFmtId="0" fontId="41" fillId="0" borderId="8" xfId="1" applyFont="1" applyBorder="1" applyAlignment="1">
      <alignment horizontal="left" wrapText="1"/>
    </xf>
    <xf numFmtId="0" fontId="41" fillId="0" borderId="0" xfId="1" applyFont="1" applyAlignment="1">
      <alignment horizontal="left" wrapText="1"/>
    </xf>
    <xf numFmtId="0" fontId="41" fillId="0" borderId="9" xfId="1" applyFont="1" applyBorder="1" applyAlignment="1">
      <alignment horizontal="left" wrapText="1"/>
    </xf>
    <xf numFmtId="0" fontId="41" fillId="0" borderId="3" xfId="1" applyFont="1" applyBorder="1" applyAlignment="1">
      <alignment horizontal="justify" vertical="center" wrapText="1"/>
    </xf>
    <xf numFmtId="0" fontId="41" fillId="0" borderId="4" xfId="1" applyFont="1" applyBorder="1" applyAlignment="1">
      <alignment horizontal="justify" vertical="center" wrapText="1"/>
    </xf>
    <xf numFmtId="0" fontId="41" fillId="0" borderId="5" xfId="1" applyFont="1" applyBorder="1" applyAlignment="1">
      <alignment horizontal="justify" vertical="center" wrapText="1"/>
    </xf>
    <xf numFmtId="0" fontId="41" fillId="0" borderId="4" xfId="1" applyFont="1" applyBorder="1" applyAlignment="1">
      <alignment horizontal="left" vertical="center" wrapText="1"/>
    </xf>
    <xf numFmtId="0" fontId="41" fillId="0" borderId="5" xfId="1" applyFont="1" applyBorder="1" applyAlignment="1">
      <alignment horizontal="left" vertical="center" wrapText="1"/>
    </xf>
    <xf numFmtId="0" fontId="34" fillId="0" borderId="0" xfId="1" applyFont="1" applyAlignment="1">
      <alignment horizontal="center" vertical="center" wrapText="1"/>
    </xf>
    <xf numFmtId="0" fontId="34" fillId="0" borderId="0" xfId="1" applyFont="1" applyAlignment="1">
      <alignment horizontal="left" vertical="center" wrapText="1"/>
    </xf>
    <xf numFmtId="0" fontId="35" fillId="0" borderId="0" xfId="1" applyFont="1" applyAlignment="1">
      <alignment horizontal="left" vertical="top" wrapText="1"/>
    </xf>
    <xf numFmtId="0" fontId="34" fillId="0" borderId="0" xfId="1" applyFont="1" applyAlignment="1">
      <alignment horizontal="left" vertical="top"/>
    </xf>
    <xf numFmtId="0" fontId="34" fillId="0" borderId="22" xfId="1" applyFont="1" applyBorder="1" applyAlignment="1">
      <alignment horizontal="left" vertical="center" wrapText="1"/>
    </xf>
    <xf numFmtId="14" fontId="34" fillId="7" borderId="0" xfId="1" applyNumberFormat="1" applyFont="1" applyFill="1" applyAlignment="1">
      <alignment horizontal="left" vertical="center" wrapText="1"/>
    </xf>
    <xf numFmtId="0" fontId="34" fillId="7" borderId="0" xfId="1" applyFont="1" applyFill="1" applyAlignment="1">
      <alignment horizontal="left" vertical="center" wrapText="1"/>
    </xf>
    <xf numFmtId="166" fontId="34" fillId="0" borderId="0" xfId="3" applyNumberFormat="1" applyFont="1" applyAlignment="1">
      <alignment horizontal="right"/>
    </xf>
    <xf numFmtId="0" fontId="34" fillId="0" borderId="0" xfId="1" applyFont="1" applyAlignment="1">
      <alignment horizontal="justify" vertical="center" wrapText="1"/>
    </xf>
    <xf numFmtId="0" fontId="6" fillId="3" borderId="1" xfId="0" applyFont="1" applyFill="1" applyBorder="1" applyAlignment="1">
      <alignment horizontal="left" vertical="center" wrapText="1"/>
    </xf>
    <xf numFmtId="0" fontId="6" fillId="3" borderId="2" xfId="0" applyFont="1" applyFill="1" applyBorder="1" applyAlignment="1">
      <alignment horizontal="left" vertical="center" wrapText="1"/>
    </xf>
    <xf numFmtId="0" fontId="6" fillId="3" borderId="2" xfId="0" applyFont="1" applyFill="1" applyBorder="1" applyAlignment="1" applyProtection="1">
      <alignment horizontal="left" vertical="center" wrapText="1"/>
      <protection locked="0"/>
    </xf>
    <xf numFmtId="0" fontId="6" fillId="3" borderId="6" xfId="0" applyFont="1" applyFill="1" applyBorder="1" applyAlignment="1" applyProtection="1">
      <alignment horizontal="left" vertical="center" wrapText="1"/>
      <protection locked="0"/>
    </xf>
    <xf numFmtId="0" fontId="6" fillId="3" borderId="7" xfId="0" applyFont="1" applyFill="1" applyBorder="1" applyAlignment="1" applyProtection="1">
      <alignment horizontal="left" vertical="center" wrapText="1"/>
      <protection locked="0"/>
    </xf>
    <xf numFmtId="0" fontId="6" fillId="3" borderId="6" xfId="0" applyFont="1" applyFill="1" applyBorder="1" applyAlignment="1">
      <alignment horizontal="left" vertical="center" wrapText="1"/>
    </xf>
    <xf numFmtId="49" fontId="34" fillId="0" borderId="20" xfId="1" applyNumberFormat="1" applyFont="1" applyBorder="1" applyAlignment="1">
      <alignment horizontal="center" vertical="center" wrapText="1"/>
    </xf>
    <xf numFmtId="0" fontId="34" fillId="0" borderId="20" xfId="1" applyFont="1" applyBorder="1" applyAlignment="1">
      <alignment horizontal="center" vertical="center" wrapText="1"/>
    </xf>
    <xf numFmtId="0" fontId="34" fillId="0" borderId="21" xfId="1" applyFont="1" applyBorder="1" applyAlignment="1">
      <alignment horizontal="center" vertical="center" wrapText="1"/>
    </xf>
    <xf numFmtId="0" fontId="34" fillId="0" borderId="9" xfId="1" applyFont="1" applyBorder="1" applyAlignment="1">
      <alignment horizontal="center" vertical="center" wrapText="1"/>
    </xf>
    <xf numFmtId="0" fontId="59" fillId="0" borderId="0" xfId="1" applyFont="1" applyAlignment="1" applyProtection="1">
      <alignment horizontal="left" vertical="top" wrapText="1"/>
      <protection hidden="1"/>
    </xf>
    <xf numFmtId="0" fontId="20" fillId="0" borderId="2" xfId="0" applyFont="1" applyBorder="1" applyAlignment="1">
      <alignment horizontal="left" vertical="center" wrapText="1"/>
    </xf>
    <xf numFmtId="0" fontId="20" fillId="0" borderId="6" xfId="0" applyFont="1" applyBorder="1" applyAlignment="1">
      <alignment horizontal="left" vertical="center"/>
    </xf>
    <xf numFmtId="0" fontId="20" fillId="0" borderId="7" xfId="0" applyFont="1" applyBorder="1" applyAlignment="1">
      <alignment horizontal="left" vertical="center"/>
    </xf>
    <xf numFmtId="0" fontId="6" fillId="3" borderId="23" xfId="0" applyFont="1" applyFill="1" applyBorder="1" applyAlignment="1" applyProtection="1">
      <alignment horizontal="left" vertical="center" wrapText="1"/>
      <protection locked="0"/>
    </xf>
    <xf numFmtId="0" fontId="6" fillId="3" borderId="16" xfId="0" applyFont="1" applyFill="1" applyBorder="1" applyAlignment="1" applyProtection="1">
      <alignment horizontal="left" vertical="center" wrapText="1"/>
      <protection locked="0"/>
    </xf>
    <xf numFmtId="0" fontId="0" fillId="0" borderId="0" xfId="0" applyAlignment="1"/>
  </cellXfs>
  <cellStyles count="10">
    <cellStyle name="AFE" xfId="1" xr:uid="{00000000-0005-0000-0000-000000000000}"/>
    <cellStyle name="Гиперссылка" xfId="9" builtinId="8"/>
    <cellStyle name="Гиперссылка 2" xfId="7" xr:uid="{00000000-0005-0000-0000-000002000000}"/>
    <cellStyle name="Обычный" xfId="0" builtinId="0"/>
    <cellStyle name="Обычный 2" xfId="8" xr:uid="{00000000-0005-0000-0000-000004000000}"/>
    <cellStyle name="Обычный 2 2" xfId="2" xr:uid="{00000000-0005-0000-0000-000005000000}"/>
    <cellStyle name="Обычный_Книга2" xfId="3" xr:uid="{00000000-0005-0000-0000-000006000000}"/>
    <cellStyle name="Процентный" xfId="6" builtinId="5"/>
    <cellStyle name="Стиль 1" xfId="4" xr:uid="{00000000-0005-0000-0000-000008000000}"/>
    <cellStyle name="Финансовый" xfId="5" builtinId="3"/>
  </cellStyles>
  <dxfs count="31">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ill>
        <patternFill>
          <bgColor theme="5" tint="0.59996337778862885"/>
        </patternFill>
      </fill>
    </dxf>
    <dxf>
      <fill>
        <patternFill>
          <bgColor theme="5" tint="0.59996337778862885"/>
        </patternFill>
      </fill>
    </dxf>
    <dxf>
      <font>
        <b/>
        <i val="0"/>
        <color rgb="FFFF0000"/>
      </font>
    </dxf>
    <dxf>
      <fill>
        <patternFill>
          <bgColor indexed="10"/>
        </patternFill>
      </fill>
    </dxf>
    <dxf>
      <fill>
        <patternFill>
          <bgColor indexed="47"/>
        </patternFill>
      </fill>
    </dxf>
    <dxf>
      <fill>
        <patternFill>
          <bgColor theme="5" tint="0.59996337778862885"/>
        </patternFill>
      </fill>
    </dxf>
    <dxf>
      <font>
        <color rgb="FF9C0006"/>
      </font>
      <fill>
        <patternFill>
          <bgColor rgb="FFFFC7CE"/>
        </patternFill>
      </fill>
    </dxf>
    <dxf>
      <fill>
        <patternFill>
          <bgColor theme="5" tint="0.59996337778862885"/>
        </patternFill>
      </fill>
    </dxf>
    <dxf>
      <fill>
        <patternFill>
          <bgColor theme="5" tint="0.59996337778862885"/>
        </patternFill>
      </fill>
    </dxf>
    <dxf>
      <font>
        <b/>
        <i val="0"/>
        <color rgb="FFFF0000"/>
      </font>
    </dxf>
    <dxf>
      <fill>
        <patternFill>
          <bgColor indexed="10"/>
        </patternFill>
      </fill>
    </dxf>
    <dxf>
      <fill>
        <patternFill>
          <bgColor indexed="47"/>
        </patternFill>
      </fill>
    </dxf>
  </dxfs>
  <tableStyles count="1" defaultTableStyle="Стиль таблицы 1" defaultPivotStyle="PivotStyleLight16">
    <tableStyle name="Стиль таблицы 1" pivot="0" count="0" xr9:uid="{00000000-0011-0000-FFFF-FFFF00000000}"/>
  </tableStyles>
  <colors>
    <mruColors>
      <color rgb="FF00808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
    <tabColor theme="9"/>
    <pageSetUpPr fitToPage="1"/>
  </sheetPr>
  <dimension ref="A1:Q303"/>
  <sheetViews>
    <sheetView showGridLines="0" zoomScale="25" zoomScaleNormal="25" zoomScaleSheetLayoutView="25" zoomScalePageLayoutView="55" workbookViewId="0" xr3:uid="{AEA406A1-0E4B-5B11-9CD5-51D6E497D94C}">
      <selection activeCell="B2" sqref="B2"/>
    </sheetView>
  </sheetViews>
  <sheetFormatPr defaultColWidth="9.140625" defaultRowHeight="35.25"/>
  <cols>
    <col min="1" max="1" width="28.7109375" style="95" bestFit="1" customWidth="1"/>
    <col min="2" max="2" width="83.85546875" style="95" customWidth="1"/>
    <col min="3" max="3" width="46.140625" style="95" customWidth="1"/>
    <col min="4" max="4" width="66.85546875" style="95" customWidth="1"/>
    <col min="5" max="5" width="37.7109375" style="95" bestFit="1" customWidth="1"/>
    <col min="6" max="6" width="34.42578125" style="95" bestFit="1" customWidth="1"/>
    <col min="7" max="7" width="24.140625" style="95" bestFit="1" customWidth="1"/>
    <col min="8" max="8" width="56.28515625" style="95" bestFit="1" customWidth="1"/>
    <col min="9" max="9" width="31.5703125" style="95" bestFit="1" customWidth="1"/>
    <col min="10" max="10" width="52" style="95" bestFit="1" customWidth="1"/>
    <col min="11" max="11" width="52.7109375" style="95" bestFit="1" customWidth="1"/>
    <col min="12" max="12" width="33" style="95" bestFit="1" customWidth="1"/>
    <col min="13" max="14" width="51.5703125" style="95" bestFit="1" customWidth="1"/>
    <col min="15" max="15" width="38.42578125" style="95" customWidth="1"/>
    <col min="16" max="16" width="13.7109375" style="95" bestFit="1" customWidth="1"/>
    <col min="17" max="16384" width="9.140625" style="95"/>
  </cols>
  <sheetData>
    <row r="1" spans="1:16" ht="32.25" customHeight="1">
      <c r="A1" s="369" t="str">
        <f>IF('Форма ввода'!C8&gt;0,'Форма ввода'!C8,"")</f>
        <v/>
      </c>
      <c r="B1" s="369"/>
      <c r="C1" s="92"/>
      <c r="D1" s="92"/>
      <c r="E1" s="92"/>
      <c r="F1" s="93"/>
      <c r="G1" s="93"/>
      <c r="H1" s="93"/>
      <c r="I1" s="94"/>
      <c r="J1" s="94"/>
      <c r="K1" s="374" t="str">
        <f>CONCATENATE("Дополнительное соглашение № ",'Форма ввода'!C6," от ",IF('Форма ввода'!C7="","",TEXT(DAY('Форма ввода'!C7),"00")&amp;" "&amp;VLOOKUP(MONTH('Форма ввода'!C7),Справочник!$D$2:$E$13,2,0)&amp;" "&amp;YEAR('Форма ввода'!C7)&amp;" г."))</f>
        <v xml:space="preserve">Дополнительное соглашение №  от </v>
      </c>
      <c r="L1" s="374"/>
      <c r="M1" s="374"/>
      <c r="N1" s="374"/>
      <c r="O1" s="374"/>
      <c r="P1" s="374"/>
    </row>
    <row r="2" spans="1:16" ht="50.25" customHeight="1">
      <c r="B2" s="96"/>
      <c r="C2" s="96"/>
      <c r="D2" s="96"/>
      <c r="E2" s="96"/>
      <c r="F2" s="96"/>
      <c r="I2" s="97"/>
      <c r="J2" s="97"/>
      <c r="K2" s="375" t="str">
        <f>CONCATENATE("к Договору поставки № ",'Форма ввода'!C4," от ",IF('Форма ввода'!C5="","",TEXT(DAY('Форма ввода'!C5),"00")&amp;" "&amp;VLOOKUP(MONTH('Форма ввода'!C5),Справочник!$D$2:$E$13,2,0)&amp;" "&amp;YEAR('Форма ввода'!C5)&amp;" г."))</f>
        <v xml:space="preserve">к Договору поставки №  от </v>
      </c>
      <c r="L2" s="375"/>
      <c r="M2" s="375"/>
      <c r="N2" s="375"/>
      <c r="O2" s="375"/>
      <c r="P2" s="375"/>
    </row>
    <row r="3" spans="1:16">
      <c r="B3" s="96"/>
      <c r="C3" s="96"/>
      <c r="D3" s="96"/>
      <c r="E3" s="96"/>
      <c r="F3" s="96"/>
      <c r="J3" s="97"/>
      <c r="K3" s="95" t="str">
        <f>IF(AND('Форма ввода'!C9="",'Форма ввода'!C10=""),"",CONCATENATE("№ ДД: ",'Форма ввода'!C9,"; № PO: ",'Форма ввода'!C10))</f>
        <v/>
      </c>
      <c r="M3" s="98"/>
      <c r="N3" s="98"/>
      <c r="O3" s="98"/>
    </row>
    <row r="4" spans="1:16">
      <c r="A4" s="99"/>
      <c r="B4" s="99"/>
      <c r="C4" s="100"/>
      <c r="D4" s="100"/>
      <c r="E4" s="100"/>
      <c r="F4" s="100"/>
      <c r="G4" s="101"/>
      <c r="H4" s="101"/>
      <c r="I4" s="101"/>
      <c r="J4" s="101"/>
      <c r="K4" s="101"/>
      <c r="L4" s="101"/>
      <c r="M4" s="376"/>
      <c r="N4" s="376"/>
      <c r="O4" s="376"/>
      <c r="P4" s="376"/>
    </row>
    <row r="5" spans="1:16" s="102" customFormat="1" ht="32.25" customHeight="1">
      <c r="A5" s="377" t="str">
        <f>CONCATENATE(VLOOKUP('Форма ввода'!C11,Справочник!A2:C42,3,),"(",VLOOKUP('Форма ввода'!C11,Справочник!A2:C42,2,),"), именуемое в дальнейшем «Покупатель», с одной стороны, и")</f>
        <v>(Выпадающий список)((Выпадающий список)), именуемое в дальнейшем «Покупатель», с одной стороны, и</v>
      </c>
      <c r="B5" s="377"/>
      <c r="C5" s="377"/>
      <c r="D5" s="377"/>
      <c r="E5" s="377"/>
      <c r="F5" s="377"/>
      <c r="G5" s="377"/>
      <c r="H5" s="377"/>
      <c r="I5" s="377"/>
      <c r="J5" s="377"/>
      <c r="K5" s="377"/>
      <c r="L5" s="377"/>
      <c r="M5" s="377"/>
      <c r="N5" s="377"/>
      <c r="O5" s="377"/>
      <c r="P5" s="377"/>
    </row>
    <row r="6" spans="1:16" ht="82.5" customHeight="1">
      <c r="A6" s="377" t="str">
        <f>CONCATENATE('Форма ввода'!C12," (",'Форма ввода'!C13,"), именуемое в дальнейшем «Поставщик», с другой стороны, вместе именуемые в дальнейшем «Стороны», договорились о нижеследующем:")</f>
        <v xml:space="preserve"> (), именуемое в дальнейшем «Поставщик», с другой стороны, вместе именуемые в дальнейшем «Стороны», договорились о нижеследующем:</v>
      </c>
      <c r="B6" s="377"/>
      <c r="C6" s="377"/>
      <c r="D6" s="377"/>
      <c r="E6" s="377"/>
      <c r="F6" s="377"/>
      <c r="G6" s="377"/>
      <c r="H6" s="377"/>
      <c r="I6" s="377"/>
      <c r="J6" s="377"/>
      <c r="K6" s="377"/>
      <c r="L6" s="377"/>
      <c r="M6" s="377"/>
      <c r="N6" s="377"/>
      <c r="O6" s="377"/>
      <c r="P6" s="377"/>
    </row>
    <row r="7" spans="1:16">
      <c r="A7" s="103" t="s">
        <v>0</v>
      </c>
      <c r="B7" s="327" t="s">
        <v>1</v>
      </c>
      <c r="C7" s="327"/>
      <c r="D7" s="327"/>
      <c r="E7" s="327"/>
      <c r="F7" s="327"/>
      <c r="G7" s="327"/>
      <c r="H7" s="327"/>
      <c r="I7" s="327"/>
      <c r="J7" s="327"/>
      <c r="K7" s="327"/>
      <c r="L7" s="327"/>
      <c r="M7" s="327"/>
      <c r="N7" s="327"/>
      <c r="O7" s="327"/>
      <c r="P7" s="327"/>
    </row>
    <row r="8" spans="1:16">
      <c r="A8" s="103"/>
      <c r="B8" s="332"/>
      <c r="C8" s="332"/>
      <c r="D8" s="332"/>
      <c r="E8" s="332"/>
      <c r="F8" s="332"/>
      <c r="G8" s="332"/>
      <c r="H8" s="332"/>
      <c r="I8" s="332"/>
      <c r="J8" s="332"/>
      <c r="K8" s="332"/>
      <c r="L8" s="332"/>
      <c r="M8" s="332"/>
      <c r="N8" s="332"/>
      <c r="O8" s="332"/>
      <c r="P8" s="332"/>
    </row>
    <row r="9" spans="1:16" s="102" customFormat="1" ht="172.5">
      <c r="A9" s="104" t="s">
        <v>2</v>
      </c>
      <c r="B9" s="104" t="s">
        <v>3</v>
      </c>
      <c r="C9" s="104" t="s">
        <v>4</v>
      </c>
      <c r="D9" s="104" t="s">
        <v>5</v>
      </c>
      <c r="E9" s="104" t="s">
        <v>6</v>
      </c>
      <c r="F9" s="104" t="s">
        <v>7</v>
      </c>
      <c r="G9" s="104" t="s">
        <v>8</v>
      </c>
      <c r="H9" s="104" t="s">
        <v>9</v>
      </c>
      <c r="I9" s="104" t="s">
        <v>10</v>
      </c>
      <c r="J9" s="104" t="str">
        <f>CONCATENATE("Цена за единицу измерения без НДС, ",'Форма ввода'!$C$14)</f>
        <v>Цена за единицу измерения без НДС, (Выпадающий список)</v>
      </c>
      <c r="K9" s="104" t="str">
        <f>CONCATENATE("Стоимость без учета НДС, ",'Форма ввода'!$C$14)</f>
        <v>Стоимость без учета НДС, (Выпадающий список)</v>
      </c>
      <c r="L9" s="104" t="s">
        <v>11</v>
      </c>
      <c r="M9" s="104" t="str">
        <f>CONCATENATE("Сумма НДС ",'Форма ввода'!$C$14)</f>
        <v>Сумма НДС (Выпадающий список)</v>
      </c>
      <c r="N9" s="104" t="str">
        <f>CONCATENATE("Стоимость с учетом НДС, ",'Форма ввода'!$C$14)</f>
        <v>Стоимость с учетом НДС, (Выпадающий список)</v>
      </c>
      <c r="O9" s="104" t="s">
        <v>12</v>
      </c>
      <c r="P9" s="104" t="str">
        <f>IF(C93="в соответствии с таблицей п. 1 настоящего Дополнительного соглашения.","Cрок поставки"," ")</f>
        <v xml:space="preserve"> </v>
      </c>
    </row>
    <row r="10" spans="1:16" s="110" customFormat="1">
      <c r="A10" s="106">
        <v>1</v>
      </c>
      <c r="B10" s="106"/>
      <c r="C10" s="106"/>
      <c r="D10" s="106"/>
      <c r="E10" s="106"/>
      <c r="F10" s="105"/>
      <c r="G10" s="106"/>
      <c r="H10" s="106"/>
      <c r="I10" s="286"/>
      <c r="J10" s="107"/>
      <c r="K10" s="180">
        <f>ROUND(I10*J10,2)</f>
        <v>0</v>
      </c>
      <c r="L10" s="181"/>
      <c r="M10" s="180">
        <f>IF(L10="Без НДС",0,ROUND(K10*L10,2))</f>
        <v>0</v>
      </c>
      <c r="N10" s="180">
        <f>M10+K10</f>
        <v>0</v>
      </c>
      <c r="O10" s="182"/>
      <c r="P10" s="183"/>
    </row>
    <row r="11" spans="1:16" s="110" customFormat="1">
      <c r="A11" s="106">
        <v>2</v>
      </c>
      <c r="B11" s="106"/>
      <c r="C11" s="106"/>
      <c r="D11" s="106"/>
      <c r="E11" s="106"/>
      <c r="F11" s="105"/>
      <c r="G11" s="106"/>
      <c r="H11" s="106"/>
      <c r="I11" s="286"/>
      <c r="J11" s="107"/>
      <c r="K11" s="180">
        <f t="shared" ref="K11:K74" si="0">ROUND(I11*J11,2)</f>
        <v>0</v>
      </c>
      <c r="L11" s="185"/>
      <c r="M11" s="180">
        <f t="shared" ref="M11:M74" si="1">IF(L11="Без НДС",0,ROUND(K11*L11,2))</f>
        <v>0</v>
      </c>
      <c r="N11" s="180">
        <f t="shared" ref="N11:N74" si="2">M11+K11</f>
        <v>0</v>
      </c>
      <c r="O11" s="182"/>
      <c r="P11" s="183"/>
    </row>
    <row r="12" spans="1:16" s="110" customFormat="1">
      <c r="A12" s="106">
        <v>3</v>
      </c>
      <c r="B12" s="106"/>
      <c r="C12" s="106"/>
      <c r="D12" s="106"/>
      <c r="E12" s="106"/>
      <c r="F12" s="105"/>
      <c r="G12" s="106"/>
      <c r="H12" s="106"/>
      <c r="I12" s="286"/>
      <c r="J12" s="107"/>
      <c r="K12" s="180">
        <f t="shared" si="0"/>
        <v>0</v>
      </c>
      <c r="L12" s="185"/>
      <c r="M12" s="180">
        <f t="shared" si="1"/>
        <v>0</v>
      </c>
      <c r="N12" s="180">
        <f t="shared" si="2"/>
        <v>0</v>
      </c>
      <c r="O12" s="182"/>
      <c r="P12" s="183"/>
    </row>
    <row r="13" spans="1:16" s="110" customFormat="1">
      <c r="A13" s="106">
        <v>4</v>
      </c>
      <c r="B13" s="106"/>
      <c r="C13" s="106"/>
      <c r="D13" s="106"/>
      <c r="E13" s="106"/>
      <c r="F13" s="105"/>
      <c r="G13" s="106"/>
      <c r="H13" s="106"/>
      <c r="I13" s="286"/>
      <c r="J13" s="107"/>
      <c r="K13" s="180">
        <f t="shared" si="0"/>
        <v>0</v>
      </c>
      <c r="L13" s="185"/>
      <c r="M13" s="180">
        <f t="shared" si="1"/>
        <v>0</v>
      </c>
      <c r="N13" s="180">
        <f t="shared" si="2"/>
        <v>0</v>
      </c>
      <c r="O13" s="182"/>
      <c r="P13" s="183"/>
    </row>
    <row r="14" spans="1:16" s="110" customFormat="1">
      <c r="A14" s="106">
        <v>5</v>
      </c>
      <c r="B14" s="106"/>
      <c r="C14" s="106"/>
      <c r="D14" s="106"/>
      <c r="E14" s="106"/>
      <c r="F14" s="105"/>
      <c r="G14" s="106"/>
      <c r="H14" s="106"/>
      <c r="I14" s="286"/>
      <c r="J14" s="107"/>
      <c r="K14" s="180">
        <f t="shared" si="0"/>
        <v>0</v>
      </c>
      <c r="L14" s="185"/>
      <c r="M14" s="180">
        <f t="shared" si="1"/>
        <v>0</v>
      </c>
      <c r="N14" s="180">
        <f t="shared" si="2"/>
        <v>0</v>
      </c>
      <c r="O14" s="182"/>
      <c r="P14" s="183"/>
    </row>
    <row r="15" spans="1:16" s="110" customFormat="1">
      <c r="A15" s="106">
        <v>6</v>
      </c>
      <c r="B15" s="106"/>
      <c r="C15" s="106"/>
      <c r="D15" s="106"/>
      <c r="E15" s="106"/>
      <c r="F15" s="105"/>
      <c r="G15" s="106"/>
      <c r="H15" s="106"/>
      <c r="I15" s="286"/>
      <c r="J15" s="107"/>
      <c r="K15" s="180">
        <f t="shared" si="0"/>
        <v>0</v>
      </c>
      <c r="L15" s="185"/>
      <c r="M15" s="180">
        <f t="shared" si="1"/>
        <v>0</v>
      </c>
      <c r="N15" s="180">
        <f t="shared" si="2"/>
        <v>0</v>
      </c>
      <c r="O15" s="182"/>
      <c r="P15" s="183"/>
    </row>
    <row r="16" spans="1:16" s="110" customFormat="1">
      <c r="A16" s="106">
        <v>7</v>
      </c>
      <c r="B16" s="106"/>
      <c r="C16" s="106"/>
      <c r="D16" s="106"/>
      <c r="E16" s="106"/>
      <c r="F16" s="105"/>
      <c r="G16" s="106"/>
      <c r="H16" s="106"/>
      <c r="I16" s="286"/>
      <c r="J16" s="107"/>
      <c r="K16" s="180">
        <f t="shared" si="0"/>
        <v>0</v>
      </c>
      <c r="L16" s="185"/>
      <c r="M16" s="180">
        <f t="shared" si="1"/>
        <v>0</v>
      </c>
      <c r="N16" s="180">
        <f t="shared" si="2"/>
        <v>0</v>
      </c>
      <c r="O16" s="182"/>
      <c r="P16" s="183"/>
    </row>
    <row r="17" spans="1:16" s="110" customFormat="1">
      <c r="A17" s="106">
        <v>8</v>
      </c>
      <c r="B17" s="106"/>
      <c r="C17" s="106"/>
      <c r="D17" s="106"/>
      <c r="E17" s="106"/>
      <c r="F17" s="105"/>
      <c r="G17" s="106"/>
      <c r="H17" s="106"/>
      <c r="I17" s="286"/>
      <c r="J17" s="107"/>
      <c r="K17" s="180">
        <f t="shared" si="0"/>
        <v>0</v>
      </c>
      <c r="L17" s="185"/>
      <c r="M17" s="180">
        <f t="shared" si="1"/>
        <v>0</v>
      </c>
      <c r="N17" s="180">
        <f t="shared" si="2"/>
        <v>0</v>
      </c>
      <c r="O17" s="182"/>
      <c r="P17" s="183"/>
    </row>
    <row r="18" spans="1:16" s="110" customFormat="1">
      <c r="A18" s="106">
        <v>9</v>
      </c>
      <c r="B18" s="106"/>
      <c r="C18" s="106"/>
      <c r="D18" s="106"/>
      <c r="E18" s="106"/>
      <c r="F18" s="105"/>
      <c r="G18" s="106"/>
      <c r="H18" s="106"/>
      <c r="I18" s="286"/>
      <c r="J18" s="107"/>
      <c r="K18" s="180">
        <f t="shared" si="0"/>
        <v>0</v>
      </c>
      <c r="L18" s="185"/>
      <c r="M18" s="180">
        <f t="shared" si="1"/>
        <v>0</v>
      </c>
      <c r="N18" s="180">
        <f t="shared" si="2"/>
        <v>0</v>
      </c>
      <c r="O18" s="182"/>
      <c r="P18" s="183"/>
    </row>
    <row r="19" spans="1:16" s="110" customFormat="1">
      <c r="A19" s="106">
        <v>10</v>
      </c>
      <c r="B19" s="106"/>
      <c r="C19" s="106"/>
      <c r="D19" s="106"/>
      <c r="E19" s="106"/>
      <c r="F19" s="105"/>
      <c r="G19" s="106"/>
      <c r="H19" s="106"/>
      <c r="I19" s="286"/>
      <c r="J19" s="107"/>
      <c r="K19" s="180">
        <f t="shared" si="0"/>
        <v>0</v>
      </c>
      <c r="L19" s="185"/>
      <c r="M19" s="180">
        <f t="shared" si="1"/>
        <v>0</v>
      </c>
      <c r="N19" s="180">
        <f t="shared" si="2"/>
        <v>0</v>
      </c>
      <c r="O19" s="182"/>
      <c r="P19" s="183"/>
    </row>
    <row r="20" spans="1:16" s="110" customFormat="1">
      <c r="A20" s="106">
        <v>11</v>
      </c>
      <c r="B20" s="106"/>
      <c r="C20" s="106"/>
      <c r="D20" s="106"/>
      <c r="E20" s="106"/>
      <c r="F20" s="105"/>
      <c r="G20" s="106"/>
      <c r="H20" s="106"/>
      <c r="I20" s="286"/>
      <c r="J20" s="107"/>
      <c r="K20" s="180">
        <f t="shared" si="0"/>
        <v>0</v>
      </c>
      <c r="L20" s="185"/>
      <c r="M20" s="180">
        <f t="shared" si="1"/>
        <v>0</v>
      </c>
      <c r="N20" s="180">
        <f t="shared" si="2"/>
        <v>0</v>
      </c>
      <c r="O20" s="182"/>
      <c r="P20" s="183"/>
    </row>
    <row r="21" spans="1:16" s="110" customFormat="1">
      <c r="A21" s="106">
        <v>12</v>
      </c>
      <c r="B21" s="106"/>
      <c r="C21" s="106"/>
      <c r="D21" s="106"/>
      <c r="E21" s="106"/>
      <c r="F21" s="105"/>
      <c r="G21" s="106"/>
      <c r="H21" s="106"/>
      <c r="I21" s="286"/>
      <c r="J21" s="107"/>
      <c r="K21" s="180">
        <f t="shared" si="0"/>
        <v>0</v>
      </c>
      <c r="L21" s="185"/>
      <c r="M21" s="180">
        <f t="shared" si="1"/>
        <v>0</v>
      </c>
      <c r="N21" s="180">
        <f t="shared" si="2"/>
        <v>0</v>
      </c>
      <c r="O21" s="182"/>
      <c r="P21" s="183"/>
    </row>
    <row r="22" spans="1:16" s="110" customFormat="1">
      <c r="A22" s="106">
        <v>13</v>
      </c>
      <c r="B22" s="106"/>
      <c r="C22" s="106"/>
      <c r="D22" s="106"/>
      <c r="E22" s="106"/>
      <c r="F22" s="105"/>
      <c r="G22" s="106"/>
      <c r="H22" s="106"/>
      <c r="I22" s="286"/>
      <c r="J22" s="107"/>
      <c r="K22" s="180">
        <f t="shared" si="0"/>
        <v>0</v>
      </c>
      <c r="L22" s="185"/>
      <c r="M22" s="180">
        <f t="shared" si="1"/>
        <v>0</v>
      </c>
      <c r="N22" s="180">
        <f t="shared" si="2"/>
        <v>0</v>
      </c>
      <c r="O22" s="182"/>
      <c r="P22" s="183"/>
    </row>
    <row r="23" spans="1:16" s="110" customFormat="1">
      <c r="A23" s="106">
        <v>14</v>
      </c>
      <c r="B23" s="106"/>
      <c r="C23" s="106"/>
      <c r="D23" s="106"/>
      <c r="E23" s="106"/>
      <c r="F23" s="105"/>
      <c r="G23" s="106"/>
      <c r="H23" s="106"/>
      <c r="I23" s="286"/>
      <c r="J23" s="107"/>
      <c r="K23" s="180">
        <f t="shared" si="0"/>
        <v>0</v>
      </c>
      <c r="L23" s="185"/>
      <c r="M23" s="180">
        <f t="shared" si="1"/>
        <v>0</v>
      </c>
      <c r="N23" s="180">
        <f t="shared" si="2"/>
        <v>0</v>
      </c>
      <c r="O23" s="182"/>
      <c r="P23" s="183"/>
    </row>
    <row r="24" spans="1:16" s="110" customFormat="1">
      <c r="A24" s="106">
        <v>15</v>
      </c>
      <c r="B24" s="106"/>
      <c r="C24" s="106"/>
      <c r="D24" s="106"/>
      <c r="E24" s="106"/>
      <c r="F24" s="105"/>
      <c r="G24" s="106"/>
      <c r="H24" s="106"/>
      <c r="I24" s="286"/>
      <c r="J24" s="107"/>
      <c r="K24" s="180">
        <f t="shared" si="0"/>
        <v>0</v>
      </c>
      <c r="L24" s="185"/>
      <c r="M24" s="180">
        <f t="shared" si="1"/>
        <v>0</v>
      </c>
      <c r="N24" s="180">
        <f t="shared" si="2"/>
        <v>0</v>
      </c>
      <c r="O24" s="182"/>
      <c r="P24" s="183"/>
    </row>
    <row r="25" spans="1:16" s="110" customFormat="1">
      <c r="A25" s="106">
        <v>16</v>
      </c>
      <c r="B25" s="106"/>
      <c r="C25" s="106"/>
      <c r="D25" s="106"/>
      <c r="E25" s="106"/>
      <c r="F25" s="105"/>
      <c r="G25" s="106"/>
      <c r="H25" s="106"/>
      <c r="I25" s="286"/>
      <c r="J25" s="107"/>
      <c r="K25" s="180">
        <f t="shared" si="0"/>
        <v>0</v>
      </c>
      <c r="L25" s="185"/>
      <c r="M25" s="180">
        <f t="shared" si="1"/>
        <v>0</v>
      </c>
      <c r="N25" s="180">
        <f t="shared" si="2"/>
        <v>0</v>
      </c>
      <c r="O25" s="182"/>
      <c r="P25" s="183"/>
    </row>
    <row r="26" spans="1:16" s="110" customFormat="1">
      <c r="A26" s="106">
        <v>17</v>
      </c>
      <c r="B26" s="106"/>
      <c r="C26" s="106"/>
      <c r="D26" s="106"/>
      <c r="E26" s="106"/>
      <c r="F26" s="105"/>
      <c r="G26" s="106"/>
      <c r="H26" s="106"/>
      <c r="I26" s="286"/>
      <c r="J26" s="107"/>
      <c r="K26" s="180">
        <f t="shared" si="0"/>
        <v>0</v>
      </c>
      <c r="L26" s="185"/>
      <c r="M26" s="180">
        <f t="shared" si="1"/>
        <v>0</v>
      </c>
      <c r="N26" s="180">
        <f t="shared" si="2"/>
        <v>0</v>
      </c>
      <c r="O26" s="182"/>
      <c r="P26" s="183"/>
    </row>
    <row r="27" spans="1:16" s="110" customFormat="1">
      <c r="A27" s="106">
        <v>18</v>
      </c>
      <c r="B27" s="106"/>
      <c r="C27" s="106"/>
      <c r="D27" s="106"/>
      <c r="E27" s="106"/>
      <c r="F27" s="105"/>
      <c r="G27" s="106"/>
      <c r="H27" s="106"/>
      <c r="I27" s="286"/>
      <c r="J27" s="107"/>
      <c r="K27" s="180">
        <f t="shared" si="0"/>
        <v>0</v>
      </c>
      <c r="L27" s="185"/>
      <c r="M27" s="180">
        <f t="shared" si="1"/>
        <v>0</v>
      </c>
      <c r="N27" s="180">
        <f t="shared" si="2"/>
        <v>0</v>
      </c>
      <c r="O27" s="182"/>
      <c r="P27" s="183"/>
    </row>
    <row r="28" spans="1:16" s="110" customFormat="1">
      <c r="A28" s="106">
        <v>19</v>
      </c>
      <c r="B28" s="106"/>
      <c r="C28" s="106"/>
      <c r="D28" s="106"/>
      <c r="E28" s="106"/>
      <c r="F28" s="105"/>
      <c r="G28" s="106"/>
      <c r="H28" s="106"/>
      <c r="I28" s="286"/>
      <c r="J28" s="107"/>
      <c r="K28" s="180">
        <f t="shared" si="0"/>
        <v>0</v>
      </c>
      <c r="L28" s="185"/>
      <c r="M28" s="180">
        <f t="shared" si="1"/>
        <v>0</v>
      </c>
      <c r="N28" s="180">
        <f t="shared" si="2"/>
        <v>0</v>
      </c>
      <c r="O28" s="182"/>
      <c r="P28" s="183"/>
    </row>
    <row r="29" spans="1:16" s="110" customFormat="1">
      <c r="A29" s="106">
        <v>20</v>
      </c>
      <c r="B29" s="106"/>
      <c r="C29" s="106"/>
      <c r="D29" s="106"/>
      <c r="E29" s="106"/>
      <c r="F29" s="105"/>
      <c r="G29" s="106"/>
      <c r="H29" s="106"/>
      <c r="I29" s="286"/>
      <c r="J29" s="107"/>
      <c r="K29" s="180">
        <f t="shared" si="0"/>
        <v>0</v>
      </c>
      <c r="L29" s="185"/>
      <c r="M29" s="180">
        <f t="shared" si="1"/>
        <v>0</v>
      </c>
      <c r="N29" s="180">
        <f t="shared" si="2"/>
        <v>0</v>
      </c>
      <c r="O29" s="182"/>
      <c r="P29" s="183"/>
    </row>
    <row r="30" spans="1:16" s="110" customFormat="1">
      <c r="A30" s="106">
        <v>21</v>
      </c>
      <c r="B30" s="106"/>
      <c r="C30" s="106"/>
      <c r="D30" s="106"/>
      <c r="E30" s="106"/>
      <c r="F30" s="105"/>
      <c r="G30" s="106"/>
      <c r="H30" s="106"/>
      <c r="I30" s="286"/>
      <c r="J30" s="107"/>
      <c r="K30" s="180">
        <f t="shared" si="0"/>
        <v>0</v>
      </c>
      <c r="L30" s="185"/>
      <c r="M30" s="180">
        <f t="shared" si="1"/>
        <v>0</v>
      </c>
      <c r="N30" s="180">
        <f t="shared" si="2"/>
        <v>0</v>
      </c>
      <c r="O30" s="182"/>
      <c r="P30" s="183"/>
    </row>
    <row r="31" spans="1:16" s="110" customFormat="1">
      <c r="A31" s="106">
        <v>22</v>
      </c>
      <c r="B31" s="106"/>
      <c r="C31" s="106"/>
      <c r="D31" s="106"/>
      <c r="E31" s="106"/>
      <c r="F31" s="105"/>
      <c r="G31" s="106"/>
      <c r="H31" s="106"/>
      <c r="I31" s="286"/>
      <c r="J31" s="107"/>
      <c r="K31" s="180">
        <f t="shared" si="0"/>
        <v>0</v>
      </c>
      <c r="L31" s="185"/>
      <c r="M31" s="180">
        <f t="shared" si="1"/>
        <v>0</v>
      </c>
      <c r="N31" s="180">
        <f t="shared" si="2"/>
        <v>0</v>
      </c>
      <c r="O31" s="182"/>
      <c r="P31" s="183"/>
    </row>
    <row r="32" spans="1:16" s="110" customFormat="1">
      <c r="A32" s="106">
        <v>23</v>
      </c>
      <c r="B32" s="106"/>
      <c r="C32" s="106"/>
      <c r="D32" s="106"/>
      <c r="E32" s="106"/>
      <c r="F32" s="105"/>
      <c r="G32" s="106"/>
      <c r="H32" s="106"/>
      <c r="I32" s="286"/>
      <c r="J32" s="107"/>
      <c r="K32" s="180">
        <f t="shared" si="0"/>
        <v>0</v>
      </c>
      <c r="L32" s="185"/>
      <c r="M32" s="180">
        <f t="shared" si="1"/>
        <v>0</v>
      </c>
      <c r="N32" s="180">
        <f t="shared" si="2"/>
        <v>0</v>
      </c>
      <c r="O32" s="182"/>
      <c r="P32" s="183"/>
    </row>
    <row r="33" spans="1:16" s="110" customFormat="1">
      <c r="A33" s="106">
        <v>24</v>
      </c>
      <c r="B33" s="106"/>
      <c r="C33" s="106"/>
      <c r="D33" s="106"/>
      <c r="E33" s="106"/>
      <c r="F33" s="105"/>
      <c r="G33" s="106"/>
      <c r="H33" s="106"/>
      <c r="I33" s="286"/>
      <c r="J33" s="107"/>
      <c r="K33" s="180">
        <f t="shared" si="0"/>
        <v>0</v>
      </c>
      <c r="L33" s="185"/>
      <c r="M33" s="180">
        <f t="shared" si="1"/>
        <v>0</v>
      </c>
      <c r="N33" s="180">
        <f t="shared" si="2"/>
        <v>0</v>
      </c>
      <c r="O33" s="182"/>
      <c r="P33" s="183"/>
    </row>
    <row r="34" spans="1:16" s="110" customFormat="1">
      <c r="A34" s="106">
        <v>25</v>
      </c>
      <c r="B34" s="106"/>
      <c r="C34" s="106"/>
      <c r="D34" s="106"/>
      <c r="E34" s="106"/>
      <c r="F34" s="105"/>
      <c r="G34" s="106"/>
      <c r="H34" s="106"/>
      <c r="I34" s="286"/>
      <c r="J34" s="107"/>
      <c r="K34" s="180">
        <f t="shared" si="0"/>
        <v>0</v>
      </c>
      <c r="L34" s="185"/>
      <c r="M34" s="180">
        <f t="shared" si="1"/>
        <v>0</v>
      </c>
      <c r="N34" s="180">
        <f t="shared" si="2"/>
        <v>0</v>
      </c>
      <c r="O34" s="182"/>
      <c r="P34" s="183"/>
    </row>
    <row r="35" spans="1:16" s="110" customFormat="1">
      <c r="A35" s="106">
        <v>26</v>
      </c>
      <c r="B35" s="106"/>
      <c r="C35" s="106"/>
      <c r="D35" s="106"/>
      <c r="E35" s="106"/>
      <c r="F35" s="105"/>
      <c r="G35" s="106"/>
      <c r="H35" s="106"/>
      <c r="I35" s="286"/>
      <c r="J35" s="107"/>
      <c r="K35" s="180">
        <f t="shared" si="0"/>
        <v>0</v>
      </c>
      <c r="L35" s="185"/>
      <c r="M35" s="180">
        <f t="shared" si="1"/>
        <v>0</v>
      </c>
      <c r="N35" s="180">
        <f t="shared" si="2"/>
        <v>0</v>
      </c>
      <c r="O35" s="182"/>
      <c r="P35" s="183"/>
    </row>
    <row r="36" spans="1:16" s="110" customFormat="1">
      <c r="A36" s="106">
        <v>27</v>
      </c>
      <c r="B36" s="106"/>
      <c r="C36" s="106"/>
      <c r="D36" s="106"/>
      <c r="E36" s="106"/>
      <c r="F36" s="105"/>
      <c r="G36" s="106"/>
      <c r="H36" s="106"/>
      <c r="I36" s="286"/>
      <c r="J36" s="107"/>
      <c r="K36" s="180">
        <f t="shared" si="0"/>
        <v>0</v>
      </c>
      <c r="L36" s="185"/>
      <c r="M36" s="180">
        <f t="shared" si="1"/>
        <v>0</v>
      </c>
      <c r="N36" s="180">
        <f t="shared" si="2"/>
        <v>0</v>
      </c>
      <c r="O36" s="182"/>
      <c r="P36" s="183"/>
    </row>
    <row r="37" spans="1:16" s="110" customFormat="1">
      <c r="A37" s="106">
        <v>28</v>
      </c>
      <c r="B37" s="106"/>
      <c r="C37" s="106"/>
      <c r="D37" s="106"/>
      <c r="E37" s="106"/>
      <c r="F37" s="105"/>
      <c r="G37" s="106"/>
      <c r="H37" s="106"/>
      <c r="I37" s="286"/>
      <c r="J37" s="107"/>
      <c r="K37" s="180">
        <f t="shared" si="0"/>
        <v>0</v>
      </c>
      <c r="L37" s="185"/>
      <c r="M37" s="180">
        <f t="shared" si="1"/>
        <v>0</v>
      </c>
      <c r="N37" s="180">
        <f t="shared" si="2"/>
        <v>0</v>
      </c>
      <c r="O37" s="182"/>
      <c r="P37" s="183"/>
    </row>
    <row r="38" spans="1:16" s="110" customFormat="1">
      <c r="A38" s="106">
        <v>29</v>
      </c>
      <c r="B38" s="106"/>
      <c r="C38" s="106"/>
      <c r="D38" s="106"/>
      <c r="E38" s="106"/>
      <c r="F38" s="105"/>
      <c r="G38" s="106"/>
      <c r="H38" s="106"/>
      <c r="I38" s="286"/>
      <c r="J38" s="107"/>
      <c r="K38" s="180">
        <f t="shared" si="0"/>
        <v>0</v>
      </c>
      <c r="L38" s="185"/>
      <c r="M38" s="180">
        <f t="shared" si="1"/>
        <v>0</v>
      </c>
      <c r="N38" s="180">
        <f t="shared" si="2"/>
        <v>0</v>
      </c>
      <c r="O38" s="182"/>
      <c r="P38" s="183"/>
    </row>
    <row r="39" spans="1:16" s="110" customFormat="1">
      <c r="A39" s="106">
        <v>30</v>
      </c>
      <c r="B39" s="106"/>
      <c r="C39" s="106"/>
      <c r="D39" s="106"/>
      <c r="E39" s="106"/>
      <c r="F39" s="105"/>
      <c r="G39" s="106"/>
      <c r="H39" s="106"/>
      <c r="I39" s="286"/>
      <c r="J39" s="107"/>
      <c r="K39" s="180">
        <f t="shared" si="0"/>
        <v>0</v>
      </c>
      <c r="L39" s="185"/>
      <c r="M39" s="180">
        <f t="shared" si="1"/>
        <v>0</v>
      </c>
      <c r="N39" s="180">
        <f t="shared" si="2"/>
        <v>0</v>
      </c>
      <c r="O39" s="182"/>
      <c r="P39" s="183"/>
    </row>
    <row r="40" spans="1:16" s="110" customFormat="1">
      <c r="A40" s="106">
        <v>31</v>
      </c>
      <c r="B40" s="106"/>
      <c r="C40" s="106"/>
      <c r="D40" s="106"/>
      <c r="E40" s="106"/>
      <c r="F40" s="105"/>
      <c r="G40" s="106"/>
      <c r="H40" s="106"/>
      <c r="I40" s="286"/>
      <c r="J40" s="107"/>
      <c r="K40" s="180">
        <f t="shared" si="0"/>
        <v>0</v>
      </c>
      <c r="L40" s="185"/>
      <c r="M40" s="180">
        <f t="shared" si="1"/>
        <v>0</v>
      </c>
      <c r="N40" s="180">
        <f t="shared" si="2"/>
        <v>0</v>
      </c>
      <c r="O40" s="182"/>
      <c r="P40" s="183"/>
    </row>
    <row r="41" spans="1:16" s="110" customFormat="1">
      <c r="A41" s="106">
        <v>32</v>
      </c>
      <c r="B41" s="106"/>
      <c r="C41" s="106"/>
      <c r="D41" s="106"/>
      <c r="E41" s="106"/>
      <c r="F41" s="105"/>
      <c r="G41" s="106"/>
      <c r="H41" s="106"/>
      <c r="I41" s="286"/>
      <c r="J41" s="107"/>
      <c r="K41" s="180">
        <f t="shared" si="0"/>
        <v>0</v>
      </c>
      <c r="L41" s="185"/>
      <c r="M41" s="180">
        <f t="shared" si="1"/>
        <v>0</v>
      </c>
      <c r="N41" s="180">
        <f t="shared" si="2"/>
        <v>0</v>
      </c>
      <c r="O41" s="182"/>
      <c r="P41" s="183"/>
    </row>
    <row r="42" spans="1:16" s="110" customFormat="1">
      <c r="A42" s="106">
        <v>33</v>
      </c>
      <c r="B42" s="106"/>
      <c r="C42" s="106"/>
      <c r="D42" s="106"/>
      <c r="E42" s="106"/>
      <c r="F42" s="105"/>
      <c r="G42" s="106"/>
      <c r="H42" s="106"/>
      <c r="I42" s="286"/>
      <c r="J42" s="107"/>
      <c r="K42" s="180">
        <f t="shared" si="0"/>
        <v>0</v>
      </c>
      <c r="L42" s="185"/>
      <c r="M42" s="180">
        <f t="shared" si="1"/>
        <v>0</v>
      </c>
      <c r="N42" s="180">
        <f t="shared" si="2"/>
        <v>0</v>
      </c>
      <c r="O42" s="182"/>
      <c r="P42" s="183"/>
    </row>
    <row r="43" spans="1:16" s="110" customFormat="1">
      <c r="A43" s="106">
        <v>34</v>
      </c>
      <c r="B43" s="106"/>
      <c r="C43" s="106"/>
      <c r="D43" s="106"/>
      <c r="E43" s="106"/>
      <c r="F43" s="105"/>
      <c r="G43" s="106"/>
      <c r="H43" s="106"/>
      <c r="I43" s="286"/>
      <c r="J43" s="107"/>
      <c r="K43" s="180">
        <f t="shared" si="0"/>
        <v>0</v>
      </c>
      <c r="L43" s="185"/>
      <c r="M43" s="180">
        <f t="shared" si="1"/>
        <v>0</v>
      </c>
      <c r="N43" s="180">
        <f t="shared" si="2"/>
        <v>0</v>
      </c>
      <c r="O43" s="182"/>
      <c r="P43" s="183"/>
    </row>
    <row r="44" spans="1:16" s="110" customFormat="1">
      <c r="A44" s="106">
        <v>35</v>
      </c>
      <c r="B44" s="106"/>
      <c r="C44" s="106"/>
      <c r="D44" s="106"/>
      <c r="E44" s="106"/>
      <c r="F44" s="105"/>
      <c r="G44" s="106"/>
      <c r="H44" s="106"/>
      <c r="I44" s="286"/>
      <c r="J44" s="107"/>
      <c r="K44" s="180">
        <f t="shared" si="0"/>
        <v>0</v>
      </c>
      <c r="L44" s="185"/>
      <c r="M44" s="180">
        <f t="shared" si="1"/>
        <v>0</v>
      </c>
      <c r="N44" s="180">
        <f t="shared" si="2"/>
        <v>0</v>
      </c>
      <c r="O44" s="182"/>
      <c r="P44" s="183"/>
    </row>
    <row r="45" spans="1:16" s="110" customFormat="1">
      <c r="A45" s="106">
        <v>36</v>
      </c>
      <c r="B45" s="106"/>
      <c r="C45" s="106"/>
      <c r="D45" s="106"/>
      <c r="E45" s="106"/>
      <c r="F45" s="105"/>
      <c r="G45" s="106"/>
      <c r="H45" s="106"/>
      <c r="I45" s="286"/>
      <c r="J45" s="107"/>
      <c r="K45" s="180">
        <f t="shared" si="0"/>
        <v>0</v>
      </c>
      <c r="L45" s="185"/>
      <c r="M45" s="180">
        <f t="shared" si="1"/>
        <v>0</v>
      </c>
      <c r="N45" s="180">
        <f t="shared" si="2"/>
        <v>0</v>
      </c>
      <c r="O45" s="182"/>
      <c r="P45" s="183"/>
    </row>
    <row r="46" spans="1:16" s="110" customFormat="1">
      <c r="A46" s="106">
        <v>37</v>
      </c>
      <c r="B46" s="106"/>
      <c r="C46" s="106"/>
      <c r="D46" s="106"/>
      <c r="E46" s="106"/>
      <c r="F46" s="105"/>
      <c r="G46" s="106"/>
      <c r="H46" s="106"/>
      <c r="I46" s="286"/>
      <c r="J46" s="107"/>
      <c r="K46" s="180">
        <f t="shared" si="0"/>
        <v>0</v>
      </c>
      <c r="L46" s="185"/>
      <c r="M46" s="180">
        <f t="shared" si="1"/>
        <v>0</v>
      </c>
      <c r="N46" s="180">
        <f t="shared" si="2"/>
        <v>0</v>
      </c>
      <c r="O46" s="182"/>
      <c r="P46" s="183"/>
    </row>
    <row r="47" spans="1:16" s="110" customFormat="1">
      <c r="A47" s="106">
        <v>38</v>
      </c>
      <c r="B47" s="106"/>
      <c r="C47" s="106"/>
      <c r="D47" s="106"/>
      <c r="E47" s="106"/>
      <c r="F47" s="105"/>
      <c r="G47" s="106"/>
      <c r="H47" s="106"/>
      <c r="I47" s="286"/>
      <c r="J47" s="107"/>
      <c r="K47" s="180">
        <f t="shared" si="0"/>
        <v>0</v>
      </c>
      <c r="L47" s="185"/>
      <c r="M47" s="180">
        <f t="shared" si="1"/>
        <v>0</v>
      </c>
      <c r="N47" s="180">
        <f t="shared" si="2"/>
        <v>0</v>
      </c>
      <c r="O47" s="182"/>
      <c r="P47" s="183"/>
    </row>
    <row r="48" spans="1:16" s="110" customFormat="1">
      <c r="A48" s="106">
        <v>39</v>
      </c>
      <c r="B48" s="106"/>
      <c r="C48" s="106"/>
      <c r="D48" s="106"/>
      <c r="E48" s="106"/>
      <c r="F48" s="105"/>
      <c r="G48" s="106"/>
      <c r="H48" s="106"/>
      <c r="I48" s="286"/>
      <c r="J48" s="107"/>
      <c r="K48" s="180">
        <f t="shared" si="0"/>
        <v>0</v>
      </c>
      <c r="L48" s="185"/>
      <c r="M48" s="180">
        <f t="shared" si="1"/>
        <v>0</v>
      </c>
      <c r="N48" s="180">
        <f t="shared" si="2"/>
        <v>0</v>
      </c>
      <c r="O48" s="182"/>
      <c r="P48" s="183"/>
    </row>
    <row r="49" spans="1:16" s="110" customFormat="1">
      <c r="A49" s="106">
        <v>40</v>
      </c>
      <c r="B49" s="106"/>
      <c r="C49" s="106"/>
      <c r="D49" s="106"/>
      <c r="E49" s="106"/>
      <c r="F49" s="105"/>
      <c r="G49" s="106"/>
      <c r="H49" s="106"/>
      <c r="I49" s="286"/>
      <c r="J49" s="107"/>
      <c r="K49" s="180">
        <f t="shared" si="0"/>
        <v>0</v>
      </c>
      <c r="L49" s="185"/>
      <c r="M49" s="180">
        <f t="shared" si="1"/>
        <v>0</v>
      </c>
      <c r="N49" s="180">
        <f t="shared" si="2"/>
        <v>0</v>
      </c>
      <c r="O49" s="182"/>
      <c r="P49" s="183"/>
    </row>
    <row r="50" spans="1:16" s="110" customFormat="1">
      <c r="A50" s="106">
        <v>41</v>
      </c>
      <c r="B50" s="106"/>
      <c r="C50" s="106"/>
      <c r="D50" s="106"/>
      <c r="E50" s="106"/>
      <c r="F50" s="105"/>
      <c r="G50" s="106"/>
      <c r="H50" s="106"/>
      <c r="I50" s="286"/>
      <c r="J50" s="107"/>
      <c r="K50" s="180">
        <f t="shared" si="0"/>
        <v>0</v>
      </c>
      <c r="L50" s="185"/>
      <c r="M50" s="180">
        <f t="shared" si="1"/>
        <v>0</v>
      </c>
      <c r="N50" s="180">
        <f t="shared" si="2"/>
        <v>0</v>
      </c>
      <c r="O50" s="182"/>
      <c r="P50" s="183"/>
    </row>
    <row r="51" spans="1:16" s="110" customFormat="1">
      <c r="A51" s="106">
        <v>42</v>
      </c>
      <c r="B51" s="106"/>
      <c r="C51" s="106"/>
      <c r="D51" s="106"/>
      <c r="E51" s="106"/>
      <c r="F51" s="105"/>
      <c r="G51" s="106"/>
      <c r="H51" s="106"/>
      <c r="I51" s="286"/>
      <c r="J51" s="107"/>
      <c r="K51" s="180">
        <f t="shared" si="0"/>
        <v>0</v>
      </c>
      <c r="L51" s="185"/>
      <c r="M51" s="180">
        <f t="shared" si="1"/>
        <v>0</v>
      </c>
      <c r="N51" s="180">
        <f t="shared" si="2"/>
        <v>0</v>
      </c>
      <c r="O51" s="182"/>
      <c r="P51" s="183"/>
    </row>
    <row r="52" spans="1:16" s="110" customFormat="1">
      <c r="A52" s="106">
        <v>43</v>
      </c>
      <c r="B52" s="106"/>
      <c r="C52" s="106"/>
      <c r="D52" s="106"/>
      <c r="E52" s="106"/>
      <c r="F52" s="105"/>
      <c r="G52" s="106"/>
      <c r="H52" s="106"/>
      <c r="I52" s="286"/>
      <c r="J52" s="107"/>
      <c r="K52" s="180">
        <f t="shared" si="0"/>
        <v>0</v>
      </c>
      <c r="L52" s="185"/>
      <c r="M52" s="180">
        <f t="shared" si="1"/>
        <v>0</v>
      </c>
      <c r="N52" s="180">
        <f t="shared" si="2"/>
        <v>0</v>
      </c>
      <c r="O52" s="182"/>
      <c r="P52" s="183"/>
    </row>
    <row r="53" spans="1:16" s="110" customFormat="1">
      <c r="A53" s="106">
        <v>44</v>
      </c>
      <c r="B53" s="106"/>
      <c r="C53" s="106"/>
      <c r="D53" s="106"/>
      <c r="E53" s="106"/>
      <c r="F53" s="105"/>
      <c r="G53" s="106"/>
      <c r="H53" s="106"/>
      <c r="I53" s="286"/>
      <c r="J53" s="107"/>
      <c r="K53" s="180">
        <f t="shared" si="0"/>
        <v>0</v>
      </c>
      <c r="L53" s="185"/>
      <c r="M53" s="180">
        <f t="shared" si="1"/>
        <v>0</v>
      </c>
      <c r="N53" s="180">
        <f t="shared" si="2"/>
        <v>0</v>
      </c>
      <c r="O53" s="182"/>
      <c r="P53" s="183"/>
    </row>
    <row r="54" spans="1:16" s="110" customFormat="1">
      <c r="A54" s="106">
        <v>45</v>
      </c>
      <c r="B54" s="106"/>
      <c r="C54" s="106"/>
      <c r="D54" s="106"/>
      <c r="E54" s="106"/>
      <c r="F54" s="105"/>
      <c r="G54" s="106"/>
      <c r="H54" s="106"/>
      <c r="I54" s="286"/>
      <c r="J54" s="107"/>
      <c r="K54" s="180">
        <f t="shared" si="0"/>
        <v>0</v>
      </c>
      <c r="L54" s="185"/>
      <c r="M54" s="180">
        <f t="shared" si="1"/>
        <v>0</v>
      </c>
      <c r="N54" s="180">
        <f t="shared" si="2"/>
        <v>0</v>
      </c>
      <c r="O54" s="182"/>
      <c r="P54" s="183"/>
    </row>
    <row r="55" spans="1:16" s="110" customFormat="1">
      <c r="A55" s="106">
        <v>46</v>
      </c>
      <c r="B55" s="106"/>
      <c r="C55" s="106"/>
      <c r="D55" s="106"/>
      <c r="E55" s="106"/>
      <c r="F55" s="105"/>
      <c r="G55" s="106"/>
      <c r="H55" s="106"/>
      <c r="I55" s="286"/>
      <c r="J55" s="107"/>
      <c r="K55" s="180">
        <f t="shared" si="0"/>
        <v>0</v>
      </c>
      <c r="L55" s="185"/>
      <c r="M55" s="180">
        <f t="shared" si="1"/>
        <v>0</v>
      </c>
      <c r="N55" s="180">
        <f t="shared" si="2"/>
        <v>0</v>
      </c>
      <c r="O55" s="182"/>
      <c r="P55" s="183"/>
    </row>
    <row r="56" spans="1:16" s="110" customFormat="1">
      <c r="A56" s="106">
        <v>47</v>
      </c>
      <c r="B56" s="106"/>
      <c r="C56" s="106"/>
      <c r="D56" s="106"/>
      <c r="E56" s="106"/>
      <c r="F56" s="105"/>
      <c r="G56" s="106"/>
      <c r="H56" s="106"/>
      <c r="I56" s="286"/>
      <c r="J56" s="107"/>
      <c r="K56" s="180">
        <f t="shared" si="0"/>
        <v>0</v>
      </c>
      <c r="L56" s="185"/>
      <c r="M56" s="180">
        <f t="shared" si="1"/>
        <v>0</v>
      </c>
      <c r="N56" s="180">
        <f t="shared" si="2"/>
        <v>0</v>
      </c>
      <c r="O56" s="182"/>
      <c r="P56" s="183"/>
    </row>
    <row r="57" spans="1:16" s="110" customFormat="1">
      <c r="A57" s="106">
        <v>48</v>
      </c>
      <c r="B57" s="106"/>
      <c r="C57" s="106"/>
      <c r="D57" s="106"/>
      <c r="E57" s="106"/>
      <c r="F57" s="105"/>
      <c r="G57" s="106"/>
      <c r="H57" s="106"/>
      <c r="I57" s="286"/>
      <c r="J57" s="107"/>
      <c r="K57" s="180">
        <f t="shared" si="0"/>
        <v>0</v>
      </c>
      <c r="L57" s="185"/>
      <c r="M57" s="180">
        <f t="shared" si="1"/>
        <v>0</v>
      </c>
      <c r="N57" s="180">
        <f t="shared" si="2"/>
        <v>0</v>
      </c>
      <c r="O57" s="182"/>
      <c r="P57" s="183"/>
    </row>
    <row r="58" spans="1:16" s="110" customFormat="1">
      <c r="A58" s="106">
        <v>49</v>
      </c>
      <c r="B58" s="106"/>
      <c r="C58" s="106"/>
      <c r="D58" s="106"/>
      <c r="E58" s="106"/>
      <c r="F58" s="105"/>
      <c r="G58" s="106"/>
      <c r="H58" s="106"/>
      <c r="I58" s="286"/>
      <c r="J58" s="107"/>
      <c r="K58" s="180">
        <f t="shared" si="0"/>
        <v>0</v>
      </c>
      <c r="L58" s="185"/>
      <c r="M58" s="180">
        <f t="shared" si="1"/>
        <v>0</v>
      </c>
      <c r="N58" s="180">
        <f t="shared" si="2"/>
        <v>0</v>
      </c>
      <c r="O58" s="182"/>
      <c r="P58" s="183"/>
    </row>
    <row r="59" spans="1:16" s="110" customFormat="1">
      <c r="A59" s="106">
        <v>50</v>
      </c>
      <c r="B59" s="106"/>
      <c r="C59" s="106"/>
      <c r="D59" s="106"/>
      <c r="E59" s="106"/>
      <c r="F59" s="105"/>
      <c r="G59" s="106"/>
      <c r="H59" s="106"/>
      <c r="I59" s="286"/>
      <c r="J59" s="107"/>
      <c r="K59" s="180">
        <f t="shared" si="0"/>
        <v>0</v>
      </c>
      <c r="L59" s="185"/>
      <c r="M59" s="180">
        <f t="shared" si="1"/>
        <v>0</v>
      </c>
      <c r="N59" s="180">
        <f t="shared" si="2"/>
        <v>0</v>
      </c>
      <c r="O59" s="182"/>
      <c r="P59" s="183"/>
    </row>
    <row r="60" spans="1:16" s="110" customFormat="1">
      <c r="A60" s="106">
        <v>51</v>
      </c>
      <c r="B60" s="106"/>
      <c r="C60" s="106"/>
      <c r="D60" s="106"/>
      <c r="E60" s="106"/>
      <c r="F60" s="105"/>
      <c r="G60" s="106"/>
      <c r="H60" s="106"/>
      <c r="I60" s="286"/>
      <c r="J60" s="107"/>
      <c r="K60" s="180">
        <f t="shared" si="0"/>
        <v>0</v>
      </c>
      <c r="L60" s="185"/>
      <c r="M60" s="180">
        <f t="shared" si="1"/>
        <v>0</v>
      </c>
      <c r="N60" s="180">
        <f t="shared" si="2"/>
        <v>0</v>
      </c>
      <c r="O60" s="182"/>
      <c r="P60" s="183"/>
    </row>
    <row r="61" spans="1:16" s="110" customFormat="1">
      <c r="A61" s="106">
        <v>52</v>
      </c>
      <c r="B61" s="106"/>
      <c r="C61" s="106"/>
      <c r="D61" s="106"/>
      <c r="E61" s="106"/>
      <c r="F61" s="105"/>
      <c r="G61" s="106"/>
      <c r="H61" s="106"/>
      <c r="I61" s="286"/>
      <c r="J61" s="107"/>
      <c r="K61" s="180">
        <f t="shared" si="0"/>
        <v>0</v>
      </c>
      <c r="L61" s="185"/>
      <c r="M61" s="180">
        <f t="shared" si="1"/>
        <v>0</v>
      </c>
      <c r="N61" s="180">
        <f t="shared" si="2"/>
        <v>0</v>
      </c>
      <c r="O61" s="182"/>
      <c r="P61" s="183"/>
    </row>
    <row r="62" spans="1:16" s="110" customFormat="1">
      <c r="A62" s="106">
        <v>53</v>
      </c>
      <c r="B62" s="106"/>
      <c r="C62" s="106"/>
      <c r="D62" s="106"/>
      <c r="E62" s="106"/>
      <c r="F62" s="105"/>
      <c r="G62" s="106"/>
      <c r="H62" s="106"/>
      <c r="I62" s="286"/>
      <c r="J62" s="107"/>
      <c r="K62" s="180">
        <f t="shared" si="0"/>
        <v>0</v>
      </c>
      <c r="L62" s="185"/>
      <c r="M62" s="180">
        <f t="shared" si="1"/>
        <v>0</v>
      </c>
      <c r="N62" s="180">
        <f t="shared" si="2"/>
        <v>0</v>
      </c>
      <c r="O62" s="182"/>
      <c r="P62" s="183"/>
    </row>
    <row r="63" spans="1:16" s="110" customFormat="1">
      <c r="A63" s="106">
        <v>54</v>
      </c>
      <c r="B63" s="106"/>
      <c r="C63" s="106"/>
      <c r="D63" s="106"/>
      <c r="E63" s="106"/>
      <c r="F63" s="105"/>
      <c r="G63" s="106"/>
      <c r="H63" s="106"/>
      <c r="I63" s="286"/>
      <c r="J63" s="107"/>
      <c r="K63" s="180">
        <f t="shared" si="0"/>
        <v>0</v>
      </c>
      <c r="L63" s="185"/>
      <c r="M63" s="180">
        <f t="shared" si="1"/>
        <v>0</v>
      </c>
      <c r="N63" s="180">
        <f t="shared" si="2"/>
        <v>0</v>
      </c>
      <c r="O63" s="182"/>
      <c r="P63" s="183"/>
    </row>
    <row r="64" spans="1:16" s="110" customFormat="1">
      <c r="A64" s="106">
        <v>55</v>
      </c>
      <c r="B64" s="106"/>
      <c r="C64" s="106"/>
      <c r="D64" s="106"/>
      <c r="E64" s="106"/>
      <c r="F64" s="105"/>
      <c r="G64" s="106"/>
      <c r="H64" s="106"/>
      <c r="I64" s="286"/>
      <c r="J64" s="107"/>
      <c r="K64" s="180">
        <f t="shared" si="0"/>
        <v>0</v>
      </c>
      <c r="L64" s="185"/>
      <c r="M64" s="180">
        <f t="shared" si="1"/>
        <v>0</v>
      </c>
      <c r="N64" s="180">
        <f t="shared" si="2"/>
        <v>0</v>
      </c>
      <c r="O64" s="182"/>
      <c r="P64" s="183"/>
    </row>
    <row r="65" spans="1:16" s="110" customFormat="1">
      <c r="A65" s="106">
        <v>56</v>
      </c>
      <c r="B65" s="106"/>
      <c r="C65" s="106"/>
      <c r="D65" s="106"/>
      <c r="E65" s="106"/>
      <c r="F65" s="105"/>
      <c r="G65" s="106"/>
      <c r="H65" s="106"/>
      <c r="I65" s="286"/>
      <c r="J65" s="107"/>
      <c r="K65" s="180">
        <f t="shared" si="0"/>
        <v>0</v>
      </c>
      <c r="L65" s="185"/>
      <c r="M65" s="180">
        <f t="shared" si="1"/>
        <v>0</v>
      </c>
      <c r="N65" s="180">
        <f t="shared" si="2"/>
        <v>0</v>
      </c>
      <c r="O65" s="182"/>
      <c r="P65" s="183"/>
    </row>
    <row r="66" spans="1:16" s="110" customFormat="1">
      <c r="A66" s="106">
        <v>57</v>
      </c>
      <c r="B66" s="106"/>
      <c r="C66" s="106"/>
      <c r="D66" s="106"/>
      <c r="E66" s="106"/>
      <c r="F66" s="105"/>
      <c r="G66" s="106"/>
      <c r="H66" s="106"/>
      <c r="I66" s="286"/>
      <c r="J66" s="107"/>
      <c r="K66" s="180">
        <f t="shared" si="0"/>
        <v>0</v>
      </c>
      <c r="L66" s="185"/>
      <c r="M66" s="180">
        <f t="shared" si="1"/>
        <v>0</v>
      </c>
      <c r="N66" s="180">
        <f t="shared" si="2"/>
        <v>0</v>
      </c>
      <c r="O66" s="182"/>
      <c r="P66" s="183"/>
    </row>
    <row r="67" spans="1:16" s="110" customFormat="1">
      <c r="A67" s="106">
        <v>58</v>
      </c>
      <c r="B67" s="106"/>
      <c r="C67" s="106"/>
      <c r="D67" s="106"/>
      <c r="E67" s="106"/>
      <c r="F67" s="105"/>
      <c r="G67" s="106"/>
      <c r="H67" s="106"/>
      <c r="I67" s="286"/>
      <c r="J67" s="107"/>
      <c r="K67" s="180">
        <f t="shared" si="0"/>
        <v>0</v>
      </c>
      <c r="L67" s="185"/>
      <c r="M67" s="180">
        <f t="shared" si="1"/>
        <v>0</v>
      </c>
      <c r="N67" s="180">
        <f t="shared" si="2"/>
        <v>0</v>
      </c>
      <c r="O67" s="182"/>
      <c r="P67" s="183"/>
    </row>
    <row r="68" spans="1:16" s="110" customFormat="1">
      <c r="A68" s="106">
        <v>59</v>
      </c>
      <c r="B68" s="106"/>
      <c r="C68" s="106"/>
      <c r="D68" s="106"/>
      <c r="E68" s="106"/>
      <c r="F68" s="105"/>
      <c r="G68" s="106"/>
      <c r="H68" s="106"/>
      <c r="I68" s="286"/>
      <c r="J68" s="107"/>
      <c r="K68" s="180">
        <f t="shared" si="0"/>
        <v>0</v>
      </c>
      <c r="L68" s="185"/>
      <c r="M68" s="180">
        <f t="shared" si="1"/>
        <v>0</v>
      </c>
      <c r="N68" s="180">
        <f t="shared" si="2"/>
        <v>0</v>
      </c>
      <c r="O68" s="182"/>
      <c r="P68" s="183"/>
    </row>
    <row r="69" spans="1:16" s="110" customFormat="1">
      <c r="A69" s="106">
        <v>60</v>
      </c>
      <c r="B69" s="106"/>
      <c r="C69" s="106"/>
      <c r="D69" s="106"/>
      <c r="E69" s="106"/>
      <c r="F69" s="105"/>
      <c r="G69" s="106"/>
      <c r="H69" s="106"/>
      <c r="I69" s="286"/>
      <c r="J69" s="107"/>
      <c r="K69" s="180">
        <f t="shared" si="0"/>
        <v>0</v>
      </c>
      <c r="L69" s="185"/>
      <c r="M69" s="180">
        <f t="shared" si="1"/>
        <v>0</v>
      </c>
      <c r="N69" s="180">
        <f t="shared" si="2"/>
        <v>0</v>
      </c>
      <c r="O69" s="182"/>
      <c r="P69" s="183"/>
    </row>
    <row r="70" spans="1:16" s="110" customFormat="1">
      <c r="A70" s="106">
        <v>61</v>
      </c>
      <c r="B70" s="106"/>
      <c r="C70" s="106"/>
      <c r="D70" s="106"/>
      <c r="E70" s="106"/>
      <c r="F70" s="105"/>
      <c r="G70" s="106"/>
      <c r="H70" s="106"/>
      <c r="I70" s="286"/>
      <c r="J70" s="107"/>
      <c r="K70" s="180">
        <f t="shared" si="0"/>
        <v>0</v>
      </c>
      <c r="L70" s="185"/>
      <c r="M70" s="180">
        <f t="shared" si="1"/>
        <v>0</v>
      </c>
      <c r="N70" s="180">
        <f t="shared" si="2"/>
        <v>0</v>
      </c>
      <c r="O70" s="182"/>
      <c r="P70" s="183"/>
    </row>
    <row r="71" spans="1:16" s="110" customFormat="1">
      <c r="A71" s="106">
        <v>62</v>
      </c>
      <c r="B71" s="106"/>
      <c r="C71" s="106"/>
      <c r="D71" s="106"/>
      <c r="E71" s="106"/>
      <c r="F71" s="105"/>
      <c r="G71" s="106"/>
      <c r="H71" s="106"/>
      <c r="I71" s="286"/>
      <c r="J71" s="107"/>
      <c r="K71" s="180">
        <f t="shared" si="0"/>
        <v>0</v>
      </c>
      <c r="L71" s="185"/>
      <c r="M71" s="180">
        <f t="shared" si="1"/>
        <v>0</v>
      </c>
      <c r="N71" s="180">
        <f t="shared" si="2"/>
        <v>0</v>
      </c>
      <c r="O71" s="182"/>
      <c r="P71" s="183"/>
    </row>
    <row r="72" spans="1:16" s="110" customFormat="1">
      <c r="A72" s="106">
        <v>63</v>
      </c>
      <c r="B72" s="106"/>
      <c r="C72" s="106"/>
      <c r="D72" s="106"/>
      <c r="E72" s="106"/>
      <c r="F72" s="105"/>
      <c r="G72" s="106"/>
      <c r="H72" s="106"/>
      <c r="I72" s="286"/>
      <c r="J72" s="107"/>
      <c r="K72" s="180">
        <f t="shared" si="0"/>
        <v>0</v>
      </c>
      <c r="L72" s="185"/>
      <c r="M72" s="180">
        <f t="shared" si="1"/>
        <v>0</v>
      </c>
      <c r="N72" s="180">
        <f t="shared" si="2"/>
        <v>0</v>
      </c>
      <c r="O72" s="182"/>
      <c r="P72" s="183"/>
    </row>
    <row r="73" spans="1:16" s="110" customFormat="1">
      <c r="A73" s="106">
        <v>64</v>
      </c>
      <c r="B73" s="106"/>
      <c r="C73" s="106"/>
      <c r="D73" s="106"/>
      <c r="E73" s="106"/>
      <c r="F73" s="105"/>
      <c r="G73" s="106"/>
      <c r="H73" s="106"/>
      <c r="I73" s="286"/>
      <c r="J73" s="107"/>
      <c r="K73" s="180">
        <f t="shared" si="0"/>
        <v>0</v>
      </c>
      <c r="L73" s="185"/>
      <c r="M73" s="180">
        <f t="shared" si="1"/>
        <v>0</v>
      </c>
      <c r="N73" s="180">
        <f t="shared" si="2"/>
        <v>0</v>
      </c>
      <c r="O73" s="182"/>
      <c r="P73" s="183"/>
    </row>
    <row r="74" spans="1:16" s="110" customFormat="1">
      <c r="A74" s="106">
        <v>65</v>
      </c>
      <c r="B74" s="106"/>
      <c r="C74" s="106"/>
      <c r="D74" s="106"/>
      <c r="E74" s="106"/>
      <c r="F74" s="105"/>
      <c r="G74" s="106"/>
      <c r="H74" s="106"/>
      <c r="I74" s="286"/>
      <c r="J74" s="107"/>
      <c r="K74" s="180">
        <f t="shared" si="0"/>
        <v>0</v>
      </c>
      <c r="L74" s="185"/>
      <c r="M74" s="180">
        <f t="shared" si="1"/>
        <v>0</v>
      </c>
      <c r="N74" s="180">
        <f t="shared" si="2"/>
        <v>0</v>
      </c>
      <c r="O74" s="182"/>
      <c r="P74" s="183"/>
    </row>
    <row r="75" spans="1:16" s="110" customFormat="1">
      <c r="A75" s="106">
        <v>66</v>
      </c>
      <c r="B75" s="106"/>
      <c r="C75" s="106"/>
      <c r="D75" s="106"/>
      <c r="E75" s="106"/>
      <c r="F75" s="105"/>
      <c r="G75" s="106"/>
      <c r="H75" s="106"/>
      <c r="I75" s="286"/>
      <c r="J75" s="107"/>
      <c r="K75" s="180">
        <f t="shared" ref="K75:K79" si="3">ROUND(I75*J75,2)</f>
        <v>0</v>
      </c>
      <c r="L75" s="185"/>
      <c r="M75" s="180">
        <f t="shared" ref="M75:M79" si="4">IF(L75="Без НДС",0,ROUND(K75*L75,2))</f>
        <v>0</v>
      </c>
      <c r="N75" s="180">
        <f t="shared" ref="N75:N80" si="5">M75+K75</f>
        <v>0</v>
      </c>
      <c r="O75" s="182"/>
      <c r="P75" s="183"/>
    </row>
    <row r="76" spans="1:16" s="110" customFormat="1">
      <c r="A76" s="106">
        <v>67</v>
      </c>
      <c r="B76" s="106"/>
      <c r="C76" s="106"/>
      <c r="D76" s="106"/>
      <c r="E76" s="106"/>
      <c r="F76" s="105"/>
      <c r="G76" s="106"/>
      <c r="H76" s="106"/>
      <c r="I76" s="286"/>
      <c r="J76" s="107"/>
      <c r="K76" s="180">
        <f t="shared" si="3"/>
        <v>0</v>
      </c>
      <c r="L76" s="185"/>
      <c r="M76" s="180">
        <f t="shared" si="4"/>
        <v>0</v>
      </c>
      <c r="N76" s="180">
        <f t="shared" si="5"/>
        <v>0</v>
      </c>
      <c r="O76" s="182"/>
      <c r="P76" s="183"/>
    </row>
    <row r="77" spans="1:16" s="110" customFormat="1">
      <c r="A77" s="106">
        <v>68</v>
      </c>
      <c r="B77" s="106"/>
      <c r="C77" s="106"/>
      <c r="D77" s="106"/>
      <c r="E77" s="106"/>
      <c r="F77" s="105"/>
      <c r="G77" s="106"/>
      <c r="H77" s="106"/>
      <c r="I77" s="286"/>
      <c r="J77" s="107"/>
      <c r="K77" s="180">
        <f t="shared" si="3"/>
        <v>0</v>
      </c>
      <c r="L77" s="185"/>
      <c r="M77" s="180">
        <f t="shared" si="4"/>
        <v>0</v>
      </c>
      <c r="N77" s="180">
        <f t="shared" si="5"/>
        <v>0</v>
      </c>
      <c r="O77" s="182"/>
      <c r="P77" s="183"/>
    </row>
    <row r="78" spans="1:16" s="110" customFormat="1">
      <c r="A78" s="106">
        <v>69</v>
      </c>
      <c r="B78" s="106"/>
      <c r="C78" s="106"/>
      <c r="D78" s="106"/>
      <c r="E78" s="106"/>
      <c r="F78" s="105"/>
      <c r="G78" s="106"/>
      <c r="H78" s="106"/>
      <c r="I78" s="286"/>
      <c r="J78" s="107"/>
      <c r="K78" s="180">
        <f t="shared" si="3"/>
        <v>0</v>
      </c>
      <c r="L78" s="185"/>
      <c r="M78" s="180">
        <f t="shared" si="4"/>
        <v>0</v>
      </c>
      <c r="N78" s="180">
        <f t="shared" si="5"/>
        <v>0</v>
      </c>
      <c r="O78" s="182"/>
      <c r="P78" s="183"/>
    </row>
    <row r="79" spans="1:16" s="110" customFormat="1">
      <c r="A79" s="106">
        <v>70</v>
      </c>
      <c r="B79" s="106"/>
      <c r="C79" s="106"/>
      <c r="D79" s="106"/>
      <c r="E79" s="106"/>
      <c r="F79" s="105"/>
      <c r="G79" s="106"/>
      <c r="H79" s="106"/>
      <c r="I79" s="286"/>
      <c r="J79" s="107"/>
      <c r="K79" s="180">
        <f t="shared" si="3"/>
        <v>0</v>
      </c>
      <c r="L79" s="185"/>
      <c r="M79" s="180">
        <f t="shared" si="4"/>
        <v>0</v>
      </c>
      <c r="N79" s="180">
        <f t="shared" si="5"/>
        <v>0</v>
      </c>
      <c r="O79" s="182"/>
      <c r="P79" s="183"/>
    </row>
    <row r="80" spans="1:16" s="110" customFormat="1">
      <c r="A80" s="111" t="s">
        <v>13</v>
      </c>
      <c r="B80" s="112"/>
      <c r="C80" s="112"/>
      <c r="D80" s="112"/>
      <c r="E80" s="112"/>
      <c r="F80" s="113"/>
      <c r="G80" s="114"/>
      <c r="H80" s="114"/>
      <c r="I80" s="115">
        <f>SUM(I10:I79)</f>
        <v>0</v>
      </c>
      <c r="J80" s="116"/>
      <c r="K80" s="117">
        <f>SUM(K10:K79)</f>
        <v>0</v>
      </c>
      <c r="L80" s="118">
        <f>COUNTIF(L10:L79,"Без НДС")</f>
        <v>0</v>
      </c>
      <c r="M80" s="117">
        <f>SUM(M10:M79)</f>
        <v>0</v>
      </c>
      <c r="N80" s="119">
        <f t="shared" si="5"/>
        <v>0</v>
      </c>
      <c r="O80" s="109"/>
      <c r="P80" s="120"/>
    </row>
    <row r="81" spans="1:17" s="110" customFormat="1">
      <c r="A81" s="121" t="e">
        <f ca="1">CONCATENATE("Итого на сумму: "&amp;FirstLetter(CurText(ROUND(N80,2),'Форма ввода'!C14)))</f>
        <v>#NAME?</v>
      </c>
      <c r="B81" s="122"/>
      <c r="C81" s="122"/>
      <c r="D81" s="122"/>
      <c r="E81" s="122"/>
      <c r="F81" s="122"/>
      <c r="G81" s="122"/>
      <c r="H81" s="122"/>
      <c r="I81" s="122"/>
      <c r="J81" s="122"/>
      <c r="K81" s="122"/>
      <c r="L81" s="122"/>
      <c r="M81" s="122"/>
      <c r="N81" s="122"/>
      <c r="O81" s="122"/>
      <c r="P81" s="123"/>
    </row>
    <row r="82" spans="1:17" s="110" customFormat="1">
      <c r="A82" s="121" t="e">
        <f ca="1">CONCATENATE("в том числе НДС:  "&amp;FirstLetter(CurText(ROUND(M80,2),'Форма ввода'!C14)))</f>
        <v>#NAME?</v>
      </c>
      <c r="B82" s="124"/>
      <c r="C82" s="125"/>
      <c r="D82" s="125"/>
      <c r="E82" s="125"/>
      <c r="F82" s="126"/>
      <c r="G82" s="127"/>
      <c r="H82" s="127"/>
      <c r="I82" s="127"/>
      <c r="J82" s="127"/>
      <c r="K82" s="127"/>
      <c r="L82" s="127"/>
      <c r="M82" s="127"/>
      <c r="N82" s="127"/>
      <c r="O82" s="127"/>
      <c r="P82" s="128"/>
    </row>
    <row r="83" spans="1:17" ht="15.75" customHeight="1">
      <c r="A83" s="129"/>
      <c r="B83" s="373"/>
      <c r="C83" s="373"/>
      <c r="D83" s="373"/>
      <c r="E83" s="373"/>
      <c r="F83" s="373"/>
      <c r="G83" s="373"/>
      <c r="H83" s="373"/>
      <c r="I83" s="373"/>
      <c r="J83" s="373"/>
      <c r="K83" s="373"/>
      <c r="L83" s="373"/>
      <c r="M83" s="373"/>
      <c r="N83" s="373"/>
      <c r="O83" s="373"/>
      <c r="P83" s="373"/>
    </row>
    <row r="84" spans="1:17">
      <c r="A84" s="103" t="s">
        <v>14</v>
      </c>
      <c r="B84" s="130" t="s">
        <v>15</v>
      </c>
      <c r="C84" s="129"/>
      <c r="D84" s="129"/>
      <c r="E84" s="129"/>
      <c r="F84" s="129"/>
      <c r="G84" s="129"/>
      <c r="H84" s="129"/>
      <c r="I84" s="129"/>
      <c r="J84" s="129"/>
      <c r="K84" s="129"/>
      <c r="L84" s="129"/>
      <c r="M84" s="129"/>
      <c r="N84" s="129"/>
      <c r="O84" s="129"/>
      <c r="P84" s="129"/>
    </row>
    <row r="85" spans="1:17" ht="66.75" customHeight="1">
      <c r="A85" s="103"/>
      <c r="B85" s="370" t="str">
        <f>IF('Форма ввода'!C19="Доставка до склада Покупателя (Грузополучателя), расположенного по адресу, указанному  в п.4.",'Форма ввода'!C19,CONCATENATE('Форма ввода'!C19,"
",'Форма ввода'!C18,"."))</f>
        <v>(Выпадающий список)
.</v>
      </c>
      <c r="C85" s="370"/>
      <c r="D85" s="370"/>
      <c r="E85" s="370"/>
      <c r="F85" s="370"/>
      <c r="G85" s="370"/>
      <c r="H85" s="370"/>
      <c r="I85" s="370"/>
      <c r="J85" s="370"/>
      <c r="K85" s="370"/>
      <c r="L85" s="370"/>
      <c r="M85" s="370"/>
      <c r="N85" s="370"/>
      <c r="O85" s="370"/>
      <c r="P85" s="370"/>
    </row>
    <row r="86" spans="1:17" ht="53.45" customHeight="1">
      <c r="A86" s="103" t="s">
        <v>16</v>
      </c>
      <c r="B86" s="130" t="s">
        <v>17</v>
      </c>
      <c r="C86" s="131"/>
      <c r="D86" s="131"/>
      <c r="E86" s="131"/>
      <c r="F86" s="131"/>
      <c r="G86" s="131"/>
      <c r="H86" s="131"/>
      <c r="I86" s="131"/>
      <c r="J86" s="131"/>
      <c r="K86" s="131"/>
      <c r="L86" s="131"/>
      <c r="M86" s="131"/>
      <c r="N86" s="131"/>
      <c r="O86" s="131"/>
      <c r="P86" s="131"/>
    </row>
    <row r="87" spans="1:17" ht="53.45" customHeight="1">
      <c r="A87" s="103"/>
      <c r="B87" s="372">
        <f>'Форма ввода'!C20</f>
        <v>0</v>
      </c>
      <c r="C87" s="372"/>
      <c r="D87" s="372"/>
      <c r="E87" s="372"/>
      <c r="F87" s="372"/>
      <c r="G87" s="372"/>
      <c r="H87" s="372"/>
      <c r="I87" s="372"/>
      <c r="J87" s="372"/>
      <c r="K87" s="372"/>
      <c r="L87" s="372"/>
      <c r="M87" s="372"/>
      <c r="N87" s="372"/>
      <c r="O87" s="372"/>
      <c r="P87" s="372"/>
    </row>
    <row r="88" spans="1:17" ht="66.75" customHeight="1">
      <c r="A88" s="103" t="s">
        <v>18</v>
      </c>
      <c r="B88" s="130" t="s">
        <v>19</v>
      </c>
      <c r="C88" s="131"/>
      <c r="D88" s="131"/>
      <c r="E88" s="131"/>
      <c r="F88" s="131"/>
      <c r="G88" s="131"/>
      <c r="H88" s="131"/>
      <c r="I88" s="131"/>
      <c r="J88" s="131"/>
      <c r="K88" s="131"/>
      <c r="L88" s="131"/>
      <c r="M88" s="131"/>
      <c r="N88" s="131"/>
      <c r="O88" s="131"/>
      <c r="P88" s="131"/>
    </row>
    <row r="89" spans="1:17" ht="68.25" customHeight="1">
      <c r="A89" s="103"/>
      <c r="B89" s="328">
        <f>'Форма ввода'!C21</f>
        <v>0</v>
      </c>
      <c r="C89" s="328"/>
      <c r="D89" s="328"/>
      <c r="E89" s="328"/>
      <c r="F89" s="328"/>
      <c r="G89" s="328"/>
      <c r="H89" s="328"/>
      <c r="I89" s="328"/>
      <c r="J89" s="328"/>
      <c r="K89" s="328"/>
      <c r="L89" s="328"/>
      <c r="M89" s="328"/>
      <c r="N89" s="328"/>
      <c r="O89" s="328"/>
      <c r="P89" s="328"/>
      <c r="Q89" s="131"/>
    </row>
    <row r="90" spans="1:17" ht="73.5" hidden="1" customHeight="1">
      <c r="A90" s="103"/>
      <c r="B90" s="328">
        <f>'Форма ввода'!C22</f>
        <v>0</v>
      </c>
      <c r="C90" s="328"/>
      <c r="D90" s="328"/>
      <c r="E90" s="328"/>
      <c r="F90" s="328"/>
      <c r="G90" s="328"/>
      <c r="H90" s="328"/>
      <c r="I90" s="328"/>
      <c r="J90" s="328"/>
      <c r="K90" s="328"/>
      <c r="L90" s="328"/>
      <c r="M90" s="328"/>
      <c r="N90" s="328"/>
      <c r="O90" s="328"/>
      <c r="P90" s="328"/>
      <c r="Q90" s="132"/>
    </row>
    <row r="91" spans="1:17" ht="73.5" hidden="1" customHeight="1">
      <c r="A91" s="103"/>
      <c r="B91" s="328">
        <f>'Форма ввода'!C23</f>
        <v>0</v>
      </c>
      <c r="C91" s="328"/>
      <c r="D91" s="328"/>
      <c r="E91" s="328"/>
      <c r="F91" s="328"/>
      <c r="G91" s="328"/>
      <c r="H91" s="328"/>
      <c r="I91" s="328"/>
      <c r="J91" s="328"/>
      <c r="K91" s="328"/>
      <c r="L91" s="328"/>
      <c r="M91" s="328"/>
      <c r="N91" s="328"/>
      <c r="O91" s="328"/>
      <c r="P91" s="328"/>
      <c r="Q91" s="132"/>
    </row>
    <row r="92" spans="1:17" ht="40.700000000000003" customHeight="1">
      <c r="A92" s="103"/>
      <c r="B92" s="328"/>
      <c r="C92" s="328"/>
      <c r="D92" s="328"/>
      <c r="E92" s="328"/>
      <c r="F92" s="328"/>
      <c r="G92" s="328"/>
      <c r="H92" s="328"/>
      <c r="I92" s="328"/>
      <c r="J92" s="328"/>
      <c r="K92" s="328"/>
      <c r="L92" s="328"/>
      <c r="M92" s="328"/>
      <c r="N92" s="328"/>
      <c r="O92" s="328"/>
      <c r="P92" s="328"/>
      <c r="Q92" s="132"/>
    </row>
    <row r="93" spans="1:17">
      <c r="A93" s="103" t="s">
        <v>20</v>
      </c>
      <c r="B93" s="130" t="s">
        <v>21</v>
      </c>
      <c r="C93" s="328" t="str">
        <f>'Форма ввода'!C24</f>
        <v>(Выпадающий список)</v>
      </c>
      <c r="D93" s="328"/>
      <c r="E93" s="328"/>
      <c r="F93" s="328"/>
      <c r="G93" s="328"/>
      <c r="H93" s="328"/>
      <c r="I93" s="328"/>
      <c r="J93" s="328"/>
      <c r="K93" s="328"/>
      <c r="L93" s="328"/>
      <c r="M93" s="328"/>
      <c r="N93" s="328"/>
      <c r="O93" s="328"/>
      <c r="P93" s="328"/>
    </row>
    <row r="94" spans="1:17" ht="42.75" customHeight="1">
      <c r="A94" s="103" t="s">
        <v>22</v>
      </c>
      <c r="B94" s="130" t="s">
        <v>23</v>
      </c>
      <c r="C94" s="130"/>
      <c r="D94" s="130"/>
      <c r="E94" s="130"/>
      <c r="F94" s="130"/>
      <c r="G94" s="130"/>
      <c r="H94" s="130"/>
      <c r="I94" s="130"/>
      <c r="J94" s="130"/>
      <c r="K94" s="130"/>
      <c r="L94" s="130"/>
      <c r="M94" s="130"/>
      <c r="N94" s="130"/>
      <c r="O94" s="130"/>
      <c r="P94" s="130"/>
    </row>
    <row r="95" spans="1:17" ht="42.75" customHeight="1">
      <c r="A95" s="133" t="s">
        <v>24</v>
      </c>
      <c r="B95" s="328" t="str">
        <f>IF('Форма ввода'!C14="руб.","Оплата Товара производится в рублях.",CONCATENATE("Оплата Товара производится ",'Форма ввода'!C31))</f>
        <v>Оплата Товара производится (Выпадающий список)</v>
      </c>
      <c r="C95" s="328"/>
      <c r="D95" s="328"/>
      <c r="E95" s="328"/>
      <c r="F95" s="328"/>
      <c r="G95" s="328"/>
      <c r="H95" s="328"/>
      <c r="I95" s="328"/>
      <c r="J95" s="328"/>
      <c r="K95" s="328"/>
      <c r="L95" s="328"/>
      <c r="M95" s="328"/>
      <c r="N95" s="328"/>
      <c r="O95" s="328"/>
      <c r="P95" s="328"/>
    </row>
    <row r="96" spans="1:17" ht="138.75" customHeight="1">
      <c r="A96" s="133" t="s">
        <v>25</v>
      </c>
      <c r="B96" s="329" t="str">
        <f ca="1">IF(OR('Форма ввода'!C39="(Выпадающий список)",'Форма ввода'!C39=""),'Форма ввода'!C33,'Форма ввода'!C40)</f>
        <v>Выберите порядок оплаты</v>
      </c>
      <c r="C96" s="329"/>
      <c r="D96" s="329"/>
      <c r="E96" s="329"/>
      <c r="F96" s="329"/>
      <c r="G96" s="329"/>
      <c r="H96" s="329"/>
      <c r="I96" s="329"/>
      <c r="J96" s="329"/>
      <c r="K96" s="329"/>
      <c r="L96" s="329"/>
      <c r="M96" s="329"/>
      <c r="N96" s="329"/>
      <c r="O96" s="329"/>
      <c r="P96" s="329"/>
    </row>
    <row r="97" spans="1:16">
      <c r="A97" s="103" t="s">
        <v>26</v>
      </c>
      <c r="B97" s="330" t="s">
        <v>27</v>
      </c>
      <c r="C97" s="331"/>
      <c r="D97" s="331"/>
      <c r="E97" s="331"/>
      <c r="F97" s="331"/>
      <c r="G97" s="331"/>
      <c r="H97" s="331"/>
      <c r="I97" s="331"/>
      <c r="J97" s="331"/>
      <c r="K97" s="331"/>
      <c r="L97" s="331"/>
      <c r="M97" s="331"/>
      <c r="N97" s="331"/>
      <c r="O97" s="331"/>
      <c r="P97" s="331"/>
    </row>
    <row r="98" spans="1:16">
      <c r="A98" s="103" t="s">
        <v>28</v>
      </c>
      <c r="B98" s="322" t="s">
        <v>29</v>
      </c>
      <c r="C98" s="319"/>
      <c r="D98" s="319"/>
      <c r="E98" s="319"/>
      <c r="F98" s="319"/>
      <c r="G98" s="319"/>
      <c r="H98" s="319"/>
      <c r="I98" s="319"/>
      <c r="J98" s="319"/>
      <c r="K98" s="319"/>
      <c r="L98" s="319"/>
      <c r="M98" s="319"/>
      <c r="N98" s="319"/>
      <c r="O98" s="319"/>
      <c r="P98" s="319"/>
    </row>
    <row r="99" spans="1:16" ht="134.25" customHeight="1">
      <c r="A99" s="103"/>
      <c r="B99" s="333" t="str">
        <f>IF('Форма ввода'!D49="+",'Форма ввода'!C50&amp;CHAR(10)&amp;'Форма ввода'!C51&amp;CHAR(10)&amp;'Форма ввода'!C52&amp;CHAR(10)&amp;'Форма ввода'!C53&amp;CHAR(10)&amp;'Форма ввода'!C54,"")</f>
        <v xml:space="preserve">УПД
Товарно-транспортная накладная
Накладная по форме ТОРГ-12, счет-фактура
</v>
      </c>
      <c r="C99" s="334"/>
      <c r="D99" s="334"/>
      <c r="E99" s="334"/>
      <c r="F99" s="334"/>
      <c r="G99" s="334"/>
      <c r="H99" s="334"/>
      <c r="I99" s="334"/>
      <c r="J99" s="334"/>
      <c r="K99" s="334"/>
      <c r="L99" s="334"/>
      <c r="M99" s="334"/>
      <c r="N99" s="334"/>
      <c r="O99" s="334"/>
      <c r="P99" s="334"/>
    </row>
    <row r="100" spans="1:16" ht="38.25">
      <c r="A100" s="320" t="s">
        <v>30</v>
      </c>
      <c r="B100" s="321" t="s">
        <v>31</v>
      </c>
      <c r="C100" s="319"/>
      <c r="D100" s="319"/>
      <c r="E100" s="319"/>
      <c r="F100" s="319"/>
      <c r="G100" s="319"/>
      <c r="H100" s="319"/>
      <c r="I100" s="319"/>
      <c r="J100" s="319"/>
      <c r="K100" s="319"/>
      <c r="L100" s="319"/>
      <c r="M100" s="319"/>
      <c r="N100" s="319"/>
      <c r="O100" s="319"/>
      <c r="P100" s="319"/>
    </row>
    <row r="101" spans="1:16" ht="143.44999999999999" customHeight="1">
      <c r="A101" s="103"/>
      <c r="B101" s="333" t="str">
        <f>IF('Форма ввода'!D55="+",'Форма ввода'!C56&amp;CHAR(10)&amp;'Форма ввода'!C57&amp;CHAR(10)&amp;'Форма ввода'!C58&amp;CHAR(10)&amp;'Форма ввода'!C59&amp;CHAR(10)&amp;'Форма ввода'!C60,"")</f>
        <v xml:space="preserve">Сертификат (паспорт) качества
</v>
      </c>
      <c r="C101" s="333"/>
      <c r="D101" s="333"/>
      <c r="E101" s="333"/>
      <c r="F101" s="333"/>
      <c r="G101" s="333"/>
      <c r="H101" s="333"/>
      <c r="I101" s="333"/>
      <c r="J101" s="333"/>
      <c r="K101" s="333"/>
      <c r="L101" s="333"/>
      <c r="M101" s="333"/>
      <c r="N101" s="333"/>
      <c r="O101" s="333"/>
      <c r="P101" s="333"/>
    </row>
    <row r="102" spans="1:16">
      <c r="A102" s="103" t="s">
        <v>32</v>
      </c>
      <c r="B102" s="371" t="s">
        <v>33</v>
      </c>
      <c r="C102" s="371"/>
      <c r="D102" s="371"/>
      <c r="E102" s="371"/>
      <c r="F102" s="371"/>
      <c r="G102" s="371"/>
      <c r="H102" s="371"/>
      <c r="I102" s="371"/>
      <c r="J102" s="371"/>
      <c r="K102" s="371"/>
      <c r="L102" s="371"/>
      <c r="M102" s="371"/>
      <c r="N102" s="371"/>
      <c r="O102" s="371"/>
      <c r="P102" s="371"/>
    </row>
    <row r="103" spans="1:16">
      <c r="A103" s="103"/>
      <c r="B103" s="370" t="str">
        <f>'Форма ввода'!C64</f>
        <v>(Выпадающий список)</v>
      </c>
      <c r="C103" s="370"/>
      <c r="D103" s="370"/>
      <c r="E103" s="370"/>
      <c r="F103" s="370"/>
      <c r="G103" s="370"/>
      <c r="H103" s="370"/>
      <c r="I103" s="370"/>
      <c r="J103" s="370"/>
      <c r="K103" s="370"/>
      <c r="L103" s="370"/>
      <c r="M103" s="370"/>
      <c r="N103" s="370"/>
      <c r="O103" s="370"/>
      <c r="P103" s="370"/>
    </row>
    <row r="104" spans="1:16">
      <c r="A104" s="103" t="s">
        <v>34</v>
      </c>
      <c r="B104" s="371" t="s">
        <v>35</v>
      </c>
      <c r="C104" s="328"/>
      <c r="D104" s="328"/>
      <c r="E104" s="328"/>
      <c r="F104" s="328"/>
      <c r="G104" s="328"/>
      <c r="H104" s="328"/>
      <c r="I104" s="328"/>
      <c r="J104" s="328"/>
      <c r="K104" s="328"/>
      <c r="L104" s="328"/>
      <c r="M104" s="328"/>
      <c r="N104" s="328"/>
      <c r="O104" s="328"/>
      <c r="P104" s="328"/>
    </row>
    <row r="105" spans="1:16">
      <c r="A105" s="103"/>
      <c r="B105" s="370" t="str">
        <f>'Форма ввода'!C29</f>
        <v>(Выпадающий список)</v>
      </c>
      <c r="C105" s="370"/>
      <c r="D105" s="370"/>
      <c r="E105" s="370"/>
      <c r="F105" s="370"/>
      <c r="G105" s="370"/>
      <c r="H105" s="370"/>
      <c r="I105" s="370"/>
      <c r="J105" s="370"/>
      <c r="K105" s="370"/>
      <c r="L105" s="370"/>
      <c r="M105" s="370"/>
      <c r="N105" s="370"/>
      <c r="O105" s="370"/>
      <c r="P105" s="370"/>
    </row>
    <row r="106" spans="1:16" ht="127.5" customHeight="1">
      <c r="A106" s="103" t="s">
        <v>36</v>
      </c>
      <c r="B106" s="328" t="s">
        <v>37</v>
      </c>
      <c r="C106" s="328"/>
      <c r="D106" s="328"/>
      <c r="E106" s="328"/>
      <c r="F106" s="328"/>
      <c r="G106" s="328"/>
      <c r="H106" s="328"/>
      <c r="I106" s="328"/>
      <c r="J106" s="328"/>
      <c r="K106" s="328"/>
      <c r="L106" s="328"/>
      <c r="M106" s="328"/>
      <c r="N106" s="328"/>
      <c r="O106" s="328"/>
      <c r="P106" s="328"/>
    </row>
    <row r="107" spans="1:16" ht="41.25" customHeight="1">
      <c r="A107" s="134" t="s">
        <v>38</v>
      </c>
      <c r="B107" s="328" t="str">
        <f>CONCATENATE("со стороны Поставщика: ",'Форма ввода'!C15)</f>
        <v xml:space="preserve">со стороны Поставщика: </v>
      </c>
      <c r="C107" s="328"/>
      <c r="D107" s="328"/>
      <c r="E107" s="328"/>
      <c r="F107" s="328"/>
      <c r="G107" s="328"/>
      <c r="H107" s="328"/>
      <c r="I107" s="328"/>
      <c r="J107" s="328"/>
      <c r="K107" s="328"/>
      <c r="L107" s="328"/>
      <c r="M107" s="328"/>
      <c r="N107" s="328"/>
      <c r="O107" s="328"/>
      <c r="P107" s="328"/>
    </row>
    <row r="108" spans="1:16" ht="48.75" customHeight="1">
      <c r="A108" s="134" t="s">
        <v>38</v>
      </c>
      <c r="B108" s="328" t="str">
        <f>CONCATENATE("со стороны Покупателя: ",'Форма ввода'!C16)</f>
        <v xml:space="preserve">со стороны Покупателя: </v>
      </c>
      <c r="C108" s="328"/>
      <c r="D108" s="328"/>
      <c r="E108" s="328"/>
      <c r="F108" s="328"/>
      <c r="G108" s="328"/>
      <c r="H108" s="328"/>
      <c r="I108" s="328"/>
      <c r="J108" s="328"/>
      <c r="K108" s="328"/>
      <c r="L108" s="328"/>
      <c r="M108" s="328"/>
      <c r="N108" s="328"/>
      <c r="O108" s="328"/>
      <c r="P108" s="328"/>
    </row>
    <row r="109" spans="1:16" ht="372.2" customHeight="1">
      <c r="A109" s="103" t="s">
        <v>39</v>
      </c>
      <c r="B109" s="332" t="str">
        <f>IF('Форма ввода'!C71="нет","В случае поставки Товара по истечении срока, указанного в п.5 настоящего дополнительного соглашения, Покупатель вправе отказаться от приемки Товара."&amp;"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соглашения."&amp;"
В случае поставки Товара по истечении срока, указанного в п.5 настоящего дополнительного соглашения, Покупатель вправе по своему усмотрению: отказаться от приемки Товара, либо принять Товар, "&amp;"поставленный по истечении срока, указанного в п.5 настоящего дополнительного соглашения на условиях, установленных в п.13 настоящего дополнительного соглашения. "&amp;"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на условиях, установленных в п.13 настоящего дополнительного соглашения."&amp;"
Поставщик обязан сообщить Покупателю и грузополучателю за 3 (три) рабочих дня до даты отгрузки Товара (по электронной почте) наименование, количество отгружаемого Товара и дату отгрузки.")</f>
        <v>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
В случае поставки Товара по истечении срока, указанного в п.5 настоящего дополнительного соглашения, Покупатель вправе по своему усмотрению: отказаться от приемки Товара, либо принять Товар, поставленный по истечении срока, указанного в п.5 настоящего дополнительного соглашения на условиях, установленных в п.13 настоящего дополнительного соглашения.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на условиях, установленных в п.13 настоящего дополнительного соглашения.
Поставщик обязан сообщить Покупателю и грузополучателю за 3 (три) рабочих дня до даты отгрузки Товара (по электронной почте) наименование, количество отгружаемого Товара и дату отгрузки.</v>
      </c>
      <c r="C109" s="332"/>
      <c r="D109" s="332"/>
      <c r="E109" s="332"/>
      <c r="F109" s="332"/>
      <c r="G109" s="332"/>
      <c r="H109" s="332"/>
      <c r="I109" s="332"/>
      <c r="J109" s="332"/>
      <c r="K109" s="332"/>
      <c r="L109" s="332"/>
      <c r="M109" s="332"/>
      <c r="N109" s="332"/>
      <c r="O109" s="332"/>
      <c r="P109" s="332"/>
    </row>
    <row r="110" spans="1:16" ht="111.75" customHeight="1">
      <c r="A110" s="103" t="s">
        <v>40</v>
      </c>
      <c r="B110" s="332" t="str">
        <f>'Форма ввода'!C66</f>
        <v>При отказе от принятия Товара Покупатель направляет Поставщику уведомление по электронной почте, не позднее 3 (Трех) рабочих дней с момента истечения срока поставки Товара, указанного в данном Дополнительном соглашении. При этом Поставщик:</v>
      </c>
      <c r="C110" s="332"/>
      <c r="D110" s="332"/>
      <c r="E110" s="332"/>
      <c r="F110" s="332"/>
      <c r="G110" s="332"/>
      <c r="H110" s="332"/>
      <c r="I110" s="332"/>
      <c r="J110" s="332"/>
      <c r="K110" s="332"/>
      <c r="L110" s="332"/>
      <c r="M110" s="332"/>
      <c r="N110" s="332"/>
      <c r="O110" s="332"/>
      <c r="P110" s="332"/>
    </row>
    <row r="111" spans="1:16" ht="189.75" customHeight="1">
      <c r="A111" s="135" t="s">
        <v>41</v>
      </c>
      <c r="B111" s="332" t="str">
        <f>'Форма ввода'!C68</f>
        <v>обязан в течение 2 (Двух)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v>
      </c>
      <c r="C111" s="332"/>
      <c r="D111" s="332"/>
      <c r="E111" s="332"/>
      <c r="F111" s="332"/>
      <c r="G111" s="332"/>
      <c r="H111" s="332"/>
      <c r="I111" s="332"/>
      <c r="J111" s="332"/>
      <c r="K111" s="332"/>
      <c r="L111" s="332"/>
      <c r="M111" s="332"/>
      <c r="N111" s="332"/>
      <c r="O111" s="332"/>
      <c r="P111" s="332"/>
    </row>
    <row r="112" spans="1:16" ht="118.5" customHeight="1">
      <c r="A112" s="135" t="s">
        <v>42</v>
      </c>
      <c r="B112" s="332" t="s">
        <v>43</v>
      </c>
      <c r="C112" s="332"/>
      <c r="D112" s="332"/>
      <c r="E112" s="332"/>
      <c r="F112" s="332"/>
      <c r="G112" s="332"/>
      <c r="H112" s="332"/>
      <c r="I112" s="332"/>
      <c r="J112" s="332"/>
      <c r="K112" s="332"/>
      <c r="L112" s="332"/>
      <c r="M112" s="332"/>
      <c r="N112" s="332"/>
      <c r="O112" s="332"/>
      <c r="P112" s="332"/>
    </row>
    <row r="113" spans="1:16" ht="83.25" customHeight="1">
      <c r="A113" s="135" t="s">
        <v>44</v>
      </c>
      <c r="B113" s="332" t="str">
        <f>IF('Форма ввода'!C71="нет","Скройте пункт 13, 13.1, 13.2, 13.3.","В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f>
        <v>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v>
      </c>
      <c r="C113" s="332"/>
      <c r="D113" s="332"/>
      <c r="E113" s="332"/>
      <c r="F113" s="332"/>
      <c r="G113" s="332"/>
      <c r="H113" s="332"/>
      <c r="I113" s="332"/>
      <c r="J113" s="332"/>
      <c r="K113" s="332"/>
      <c r="L113" s="332"/>
      <c r="M113" s="332"/>
      <c r="N113" s="332"/>
      <c r="O113" s="332"/>
      <c r="P113" s="332"/>
    </row>
    <row r="114" spans="1:16" s="102" customFormat="1" ht="77.25" customHeight="1">
      <c r="A114" s="135" t="s">
        <v>45</v>
      </c>
      <c r="B114" s="326" t="s">
        <v>46</v>
      </c>
      <c r="C114" s="326"/>
      <c r="D114" s="326"/>
      <c r="E114" s="326"/>
      <c r="F114" s="326"/>
      <c r="G114" s="326"/>
      <c r="H114" s="326"/>
      <c r="I114" s="326"/>
      <c r="J114" s="326"/>
      <c r="K114" s="326"/>
      <c r="L114" s="326"/>
      <c r="M114" s="326"/>
      <c r="N114" s="326"/>
      <c r="O114" s="327"/>
      <c r="P114" s="327"/>
    </row>
    <row r="115" spans="1:16" s="110" customFormat="1" ht="172.5">
      <c r="A115" s="136" t="str">
        <f t="shared" ref="A115:N115" si="6">A9</f>
        <v>№ п/п</v>
      </c>
      <c r="B115" s="136" t="str">
        <f t="shared" si="6"/>
        <v>Наименование Товара Поставщика</v>
      </c>
      <c r="C115" s="136" t="str">
        <f t="shared" si="6"/>
        <v>ГОСТ, ТУ, технические характеристики</v>
      </c>
      <c r="D115" s="136" t="str">
        <f t="shared" si="6"/>
        <v>Наименование Товара для отражения в учетных системах Покупателя</v>
      </c>
      <c r="E115" s="136" t="str">
        <f t="shared" si="6"/>
        <v>Код АСВ НСИ</v>
      </c>
      <c r="F115" s="136" t="str">
        <f t="shared" si="6"/>
        <v>№ техн. поз.</v>
      </c>
      <c r="G115" s="136" t="str">
        <f t="shared" si="6"/>
        <v>Ед. изм.</v>
      </c>
      <c r="H115" s="136" t="str">
        <f t="shared" si="6"/>
        <v>Производитель, Страна происхождения</v>
      </c>
      <c r="I115" s="136" t="str">
        <f t="shared" si="6"/>
        <v>Кол-во</v>
      </c>
      <c r="J115" s="136" t="str">
        <f t="shared" si="6"/>
        <v>Цена за единицу измерения без НДС, (Выпадающий список)</v>
      </c>
      <c r="K115" s="136" t="str">
        <f t="shared" si="6"/>
        <v>Стоимость без учета НДС, (Выпадающий список)</v>
      </c>
      <c r="L115" s="136" t="str">
        <f t="shared" si="6"/>
        <v>Ставка НДС,%</v>
      </c>
      <c r="M115" s="136" t="str">
        <f t="shared" si="6"/>
        <v>Сумма НДС (Выпадающий список)</v>
      </c>
      <c r="N115" s="136" t="str">
        <f t="shared" si="6"/>
        <v>Стоимость с учетом НДС, (Выпадающий список)</v>
      </c>
      <c r="O115" s="137"/>
      <c r="P115" s="138"/>
    </row>
    <row r="116" spans="1:16" s="110" customFormat="1">
      <c r="A116" s="139">
        <f t="shared" ref="A116:I116" si="7">A10</f>
        <v>1</v>
      </c>
      <c r="B116" s="140">
        <f t="shared" si="7"/>
        <v>0</v>
      </c>
      <c r="C116" s="140">
        <f t="shared" si="7"/>
        <v>0</v>
      </c>
      <c r="D116" s="140">
        <f t="shared" si="7"/>
        <v>0</v>
      </c>
      <c r="E116" s="140">
        <f t="shared" si="7"/>
        <v>0</v>
      </c>
      <c r="F116" s="140">
        <f t="shared" si="7"/>
        <v>0</v>
      </c>
      <c r="G116" s="140">
        <f t="shared" si="7"/>
        <v>0</v>
      </c>
      <c r="H116" s="140">
        <f t="shared" si="7"/>
        <v>0</v>
      </c>
      <c r="I116" s="141">
        <f t="shared" si="7"/>
        <v>0</v>
      </c>
      <c r="J116" s="142">
        <f>J10*(1-'Форма ввода'!$C$72/100)</f>
        <v>0</v>
      </c>
      <c r="K116" s="108">
        <f>ROUND(I116*J116,2)</f>
        <v>0</v>
      </c>
      <c r="L116" s="143">
        <f t="shared" ref="L116:L147" si="8">L10</f>
        <v>0</v>
      </c>
      <c r="M116" s="108">
        <f>IF(L116="Без НДС",0,ROUND(K116*L116,2))</f>
        <v>0</v>
      </c>
      <c r="N116" s="108">
        <f>M116+K116</f>
        <v>0</v>
      </c>
      <c r="O116" s="144"/>
      <c r="P116" s="145"/>
    </row>
    <row r="117" spans="1:16" s="110" customFormat="1">
      <c r="A117" s="139">
        <f t="shared" ref="A117:I117" si="9">A11</f>
        <v>2</v>
      </c>
      <c r="B117" s="140">
        <f t="shared" si="9"/>
        <v>0</v>
      </c>
      <c r="C117" s="140">
        <f t="shared" si="9"/>
        <v>0</v>
      </c>
      <c r="D117" s="140">
        <f t="shared" si="9"/>
        <v>0</v>
      </c>
      <c r="E117" s="140">
        <f t="shared" si="9"/>
        <v>0</v>
      </c>
      <c r="F117" s="140">
        <f t="shared" si="9"/>
        <v>0</v>
      </c>
      <c r="G117" s="140">
        <f t="shared" si="9"/>
        <v>0</v>
      </c>
      <c r="H117" s="140">
        <f t="shared" si="9"/>
        <v>0</v>
      </c>
      <c r="I117" s="141">
        <f t="shared" si="9"/>
        <v>0</v>
      </c>
      <c r="J117" s="142">
        <f>J11*(1-'Форма ввода'!$C$72/100)</f>
        <v>0</v>
      </c>
      <c r="K117" s="108">
        <f t="shared" ref="K117:K180" si="10">ROUND(I117*J117,2)</f>
        <v>0</v>
      </c>
      <c r="L117" s="143">
        <f t="shared" si="8"/>
        <v>0</v>
      </c>
      <c r="M117" s="108">
        <f t="shared" ref="M117:M180" si="11">IF(L117="Без НДС",0,ROUND(K117*L117,2))</f>
        <v>0</v>
      </c>
      <c r="N117" s="108">
        <f t="shared" ref="N117:N180" si="12">M117+K117</f>
        <v>0</v>
      </c>
      <c r="O117" s="144"/>
      <c r="P117" s="145"/>
    </row>
    <row r="118" spans="1:16" s="110" customFormat="1">
      <c r="A118" s="139">
        <f t="shared" ref="A118:I118" si="13">A12</f>
        <v>3</v>
      </c>
      <c r="B118" s="140">
        <f t="shared" si="13"/>
        <v>0</v>
      </c>
      <c r="C118" s="140">
        <f t="shared" si="13"/>
        <v>0</v>
      </c>
      <c r="D118" s="140">
        <f t="shared" si="13"/>
        <v>0</v>
      </c>
      <c r="E118" s="140">
        <f t="shared" si="13"/>
        <v>0</v>
      </c>
      <c r="F118" s="140">
        <f t="shared" si="13"/>
        <v>0</v>
      </c>
      <c r="G118" s="140">
        <f t="shared" si="13"/>
        <v>0</v>
      </c>
      <c r="H118" s="140">
        <f t="shared" si="13"/>
        <v>0</v>
      </c>
      <c r="I118" s="141">
        <f t="shared" si="13"/>
        <v>0</v>
      </c>
      <c r="J118" s="142">
        <f>J12*(1-'Форма ввода'!$C$72/100)</f>
        <v>0</v>
      </c>
      <c r="K118" s="108">
        <f t="shared" si="10"/>
        <v>0</v>
      </c>
      <c r="L118" s="143">
        <f t="shared" si="8"/>
        <v>0</v>
      </c>
      <c r="M118" s="108">
        <f t="shared" si="11"/>
        <v>0</v>
      </c>
      <c r="N118" s="108">
        <f t="shared" si="12"/>
        <v>0</v>
      </c>
      <c r="O118" s="144"/>
      <c r="P118" s="145"/>
    </row>
    <row r="119" spans="1:16" s="110" customFormat="1">
      <c r="A119" s="139">
        <f t="shared" ref="A119:I119" si="14">A13</f>
        <v>4</v>
      </c>
      <c r="B119" s="140">
        <f t="shared" si="14"/>
        <v>0</v>
      </c>
      <c r="C119" s="140">
        <f t="shared" si="14"/>
        <v>0</v>
      </c>
      <c r="D119" s="140">
        <f t="shared" si="14"/>
        <v>0</v>
      </c>
      <c r="E119" s="140">
        <f t="shared" si="14"/>
        <v>0</v>
      </c>
      <c r="F119" s="140">
        <f t="shared" si="14"/>
        <v>0</v>
      </c>
      <c r="G119" s="140">
        <f t="shared" si="14"/>
        <v>0</v>
      </c>
      <c r="H119" s="140">
        <f t="shared" si="14"/>
        <v>0</v>
      </c>
      <c r="I119" s="141">
        <f t="shared" si="14"/>
        <v>0</v>
      </c>
      <c r="J119" s="142">
        <f>J13*(1-'Форма ввода'!$C$72/100)</f>
        <v>0</v>
      </c>
      <c r="K119" s="108">
        <f t="shared" si="10"/>
        <v>0</v>
      </c>
      <c r="L119" s="143">
        <f t="shared" si="8"/>
        <v>0</v>
      </c>
      <c r="M119" s="108">
        <f t="shared" si="11"/>
        <v>0</v>
      </c>
      <c r="N119" s="108">
        <f t="shared" si="12"/>
        <v>0</v>
      </c>
      <c r="O119" s="144"/>
      <c r="P119" s="145"/>
    </row>
    <row r="120" spans="1:16" s="110" customFormat="1">
      <c r="A120" s="139">
        <f t="shared" ref="A120:I120" si="15">A14</f>
        <v>5</v>
      </c>
      <c r="B120" s="140">
        <f t="shared" si="15"/>
        <v>0</v>
      </c>
      <c r="C120" s="140">
        <f t="shared" si="15"/>
        <v>0</v>
      </c>
      <c r="D120" s="140">
        <f t="shared" si="15"/>
        <v>0</v>
      </c>
      <c r="E120" s="140">
        <f t="shared" si="15"/>
        <v>0</v>
      </c>
      <c r="F120" s="140">
        <f t="shared" si="15"/>
        <v>0</v>
      </c>
      <c r="G120" s="140">
        <f t="shared" si="15"/>
        <v>0</v>
      </c>
      <c r="H120" s="140">
        <f t="shared" si="15"/>
        <v>0</v>
      </c>
      <c r="I120" s="141">
        <f t="shared" si="15"/>
        <v>0</v>
      </c>
      <c r="J120" s="142">
        <f>J14*(1-'Форма ввода'!$C$72/100)</f>
        <v>0</v>
      </c>
      <c r="K120" s="108">
        <f t="shared" si="10"/>
        <v>0</v>
      </c>
      <c r="L120" s="143">
        <f t="shared" si="8"/>
        <v>0</v>
      </c>
      <c r="M120" s="108">
        <f t="shared" si="11"/>
        <v>0</v>
      </c>
      <c r="N120" s="108">
        <f t="shared" si="12"/>
        <v>0</v>
      </c>
      <c r="O120" s="144"/>
      <c r="P120" s="145"/>
    </row>
    <row r="121" spans="1:16" s="110" customFormat="1">
      <c r="A121" s="139">
        <f t="shared" ref="A121:I121" si="16">A15</f>
        <v>6</v>
      </c>
      <c r="B121" s="140">
        <f t="shared" si="16"/>
        <v>0</v>
      </c>
      <c r="C121" s="140">
        <f t="shared" si="16"/>
        <v>0</v>
      </c>
      <c r="D121" s="140">
        <f t="shared" si="16"/>
        <v>0</v>
      </c>
      <c r="E121" s="140">
        <f t="shared" si="16"/>
        <v>0</v>
      </c>
      <c r="F121" s="140">
        <f t="shared" si="16"/>
        <v>0</v>
      </c>
      <c r="G121" s="140">
        <f t="shared" si="16"/>
        <v>0</v>
      </c>
      <c r="H121" s="140">
        <f t="shared" si="16"/>
        <v>0</v>
      </c>
      <c r="I121" s="141">
        <f t="shared" si="16"/>
        <v>0</v>
      </c>
      <c r="J121" s="142">
        <f>J15*(1-'Форма ввода'!$C$72/100)</f>
        <v>0</v>
      </c>
      <c r="K121" s="108">
        <f t="shared" si="10"/>
        <v>0</v>
      </c>
      <c r="L121" s="143">
        <f t="shared" si="8"/>
        <v>0</v>
      </c>
      <c r="M121" s="108">
        <f t="shared" si="11"/>
        <v>0</v>
      </c>
      <c r="N121" s="108">
        <f t="shared" si="12"/>
        <v>0</v>
      </c>
      <c r="O121" s="144"/>
      <c r="P121" s="145"/>
    </row>
    <row r="122" spans="1:16" s="110" customFormat="1">
      <c r="A122" s="139">
        <f t="shared" ref="A122:I122" si="17">A16</f>
        <v>7</v>
      </c>
      <c r="B122" s="140">
        <f t="shared" si="17"/>
        <v>0</v>
      </c>
      <c r="C122" s="140">
        <f t="shared" si="17"/>
        <v>0</v>
      </c>
      <c r="D122" s="140">
        <f t="shared" si="17"/>
        <v>0</v>
      </c>
      <c r="E122" s="140">
        <f t="shared" si="17"/>
        <v>0</v>
      </c>
      <c r="F122" s="140">
        <f t="shared" si="17"/>
        <v>0</v>
      </c>
      <c r="G122" s="140">
        <f t="shared" si="17"/>
        <v>0</v>
      </c>
      <c r="H122" s="140">
        <f t="shared" si="17"/>
        <v>0</v>
      </c>
      <c r="I122" s="141">
        <f t="shared" si="17"/>
        <v>0</v>
      </c>
      <c r="J122" s="142">
        <f>J16*(1-'Форма ввода'!$C$72/100)</f>
        <v>0</v>
      </c>
      <c r="K122" s="108">
        <f t="shared" si="10"/>
        <v>0</v>
      </c>
      <c r="L122" s="143">
        <f t="shared" si="8"/>
        <v>0</v>
      </c>
      <c r="M122" s="108">
        <f t="shared" si="11"/>
        <v>0</v>
      </c>
      <c r="N122" s="108">
        <f t="shared" si="12"/>
        <v>0</v>
      </c>
      <c r="O122" s="144"/>
      <c r="P122" s="145"/>
    </row>
    <row r="123" spans="1:16" s="110" customFormat="1">
      <c r="A123" s="139">
        <f t="shared" ref="A123:I123" si="18">A17</f>
        <v>8</v>
      </c>
      <c r="B123" s="140">
        <f t="shared" si="18"/>
        <v>0</v>
      </c>
      <c r="C123" s="140">
        <f t="shared" si="18"/>
        <v>0</v>
      </c>
      <c r="D123" s="140">
        <f t="shared" si="18"/>
        <v>0</v>
      </c>
      <c r="E123" s="140">
        <f t="shared" si="18"/>
        <v>0</v>
      </c>
      <c r="F123" s="140">
        <f t="shared" si="18"/>
        <v>0</v>
      </c>
      <c r="G123" s="140">
        <f t="shared" si="18"/>
        <v>0</v>
      </c>
      <c r="H123" s="140">
        <f t="shared" si="18"/>
        <v>0</v>
      </c>
      <c r="I123" s="141">
        <f t="shared" si="18"/>
        <v>0</v>
      </c>
      <c r="J123" s="142">
        <f>J17*(1-'Форма ввода'!$C$72/100)</f>
        <v>0</v>
      </c>
      <c r="K123" s="108">
        <f t="shared" si="10"/>
        <v>0</v>
      </c>
      <c r="L123" s="143">
        <f t="shared" si="8"/>
        <v>0</v>
      </c>
      <c r="M123" s="108">
        <f t="shared" si="11"/>
        <v>0</v>
      </c>
      <c r="N123" s="108">
        <f t="shared" si="12"/>
        <v>0</v>
      </c>
      <c r="O123" s="144"/>
      <c r="P123" s="145"/>
    </row>
    <row r="124" spans="1:16" s="110" customFormat="1">
      <c r="A124" s="139">
        <f t="shared" ref="A124:I124" si="19">A18</f>
        <v>9</v>
      </c>
      <c r="B124" s="140">
        <f t="shared" si="19"/>
        <v>0</v>
      </c>
      <c r="C124" s="140">
        <f t="shared" si="19"/>
        <v>0</v>
      </c>
      <c r="D124" s="140">
        <f t="shared" si="19"/>
        <v>0</v>
      </c>
      <c r="E124" s="140">
        <f t="shared" si="19"/>
        <v>0</v>
      </c>
      <c r="F124" s="140">
        <f t="shared" si="19"/>
        <v>0</v>
      </c>
      <c r="G124" s="140">
        <f t="shared" si="19"/>
        <v>0</v>
      </c>
      <c r="H124" s="140">
        <f t="shared" si="19"/>
        <v>0</v>
      </c>
      <c r="I124" s="141">
        <f t="shared" si="19"/>
        <v>0</v>
      </c>
      <c r="J124" s="142">
        <f>J18*(1-'Форма ввода'!$C$72/100)</f>
        <v>0</v>
      </c>
      <c r="K124" s="108">
        <f t="shared" si="10"/>
        <v>0</v>
      </c>
      <c r="L124" s="143">
        <f t="shared" si="8"/>
        <v>0</v>
      </c>
      <c r="M124" s="108">
        <f t="shared" si="11"/>
        <v>0</v>
      </c>
      <c r="N124" s="108">
        <f t="shared" si="12"/>
        <v>0</v>
      </c>
      <c r="O124" s="144"/>
      <c r="P124" s="145"/>
    </row>
    <row r="125" spans="1:16" s="110" customFormat="1">
      <c r="A125" s="139">
        <f t="shared" ref="A125:I125" si="20">A19</f>
        <v>10</v>
      </c>
      <c r="B125" s="140">
        <f t="shared" si="20"/>
        <v>0</v>
      </c>
      <c r="C125" s="140">
        <f t="shared" si="20"/>
        <v>0</v>
      </c>
      <c r="D125" s="140">
        <f t="shared" si="20"/>
        <v>0</v>
      </c>
      <c r="E125" s="140">
        <f t="shared" si="20"/>
        <v>0</v>
      </c>
      <c r="F125" s="140">
        <f t="shared" si="20"/>
        <v>0</v>
      </c>
      <c r="G125" s="140">
        <f t="shared" si="20"/>
        <v>0</v>
      </c>
      <c r="H125" s="140">
        <f t="shared" si="20"/>
        <v>0</v>
      </c>
      <c r="I125" s="141">
        <f t="shared" si="20"/>
        <v>0</v>
      </c>
      <c r="J125" s="142">
        <f>J19*(1-'Форма ввода'!$C$72/100)</f>
        <v>0</v>
      </c>
      <c r="K125" s="108">
        <f t="shared" si="10"/>
        <v>0</v>
      </c>
      <c r="L125" s="143">
        <f t="shared" si="8"/>
        <v>0</v>
      </c>
      <c r="M125" s="108">
        <f t="shared" si="11"/>
        <v>0</v>
      </c>
      <c r="N125" s="108">
        <f t="shared" si="12"/>
        <v>0</v>
      </c>
      <c r="O125" s="144"/>
      <c r="P125" s="145"/>
    </row>
    <row r="126" spans="1:16" s="110" customFormat="1">
      <c r="A126" s="139">
        <f t="shared" ref="A126:I126" si="21">A20</f>
        <v>11</v>
      </c>
      <c r="B126" s="140">
        <f t="shared" si="21"/>
        <v>0</v>
      </c>
      <c r="C126" s="140">
        <f t="shared" si="21"/>
        <v>0</v>
      </c>
      <c r="D126" s="140">
        <f t="shared" si="21"/>
        <v>0</v>
      </c>
      <c r="E126" s="140">
        <f t="shared" si="21"/>
        <v>0</v>
      </c>
      <c r="F126" s="140">
        <f t="shared" si="21"/>
        <v>0</v>
      </c>
      <c r="G126" s="140">
        <f t="shared" si="21"/>
        <v>0</v>
      </c>
      <c r="H126" s="140">
        <f t="shared" si="21"/>
        <v>0</v>
      </c>
      <c r="I126" s="141">
        <f t="shared" si="21"/>
        <v>0</v>
      </c>
      <c r="J126" s="142">
        <f>J20*(1-'Форма ввода'!$C$72/100)</f>
        <v>0</v>
      </c>
      <c r="K126" s="108">
        <f t="shared" si="10"/>
        <v>0</v>
      </c>
      <c r="L126" s="143">
        <f t="shared" si="8"/>
        <v>0</v>
      </c>
      <c r="M126" s="108">
        <f t="shared" si="11"/>
        <v>0</v>
      </c>
      <c r="N126" s="108">
        <f t="shared" si="12"/>
        <v>0</v>
      </c>
      <c r="O126" s="144"/>
      <c r="P126" s="145"/>
    </row>
    <row r="127" spans="1:16" s="110" customFormat="1">
      <c r="A127" s="139">
        <f t="shared" ref="A127:I127" si="22">A21</f>
        <v>12</v>
      </c>
      <c r="B127" s="140">
        <f t="shared" si="22"/>
        <v>0</v>
      </c>
      <c r="C127" s="140">
        <f t="shared" si="22"/>
        <v>0</v>
      </c>
      <c r="D127" s="140">
        <f t="shared" si="22"/>
        <v>0</v>
      </c>
      <c r="E127" s="140">
        <f t="shared" si="22"/>
        <v>0</v>
      </c>
      <c r="F127" s="140">
        <f t="shared" si="22"/>
        <v>0</v>
      </c>
      <c r="G127" s="140">
        <f t="shared" si="22"/>
        <v>0</v>
      </c>
      <c r="H127" s="140">
        <f t="shared" si="22"/>
        <v>0</v>
      </c>
      <c r="I127" s="141">
        <f t="shared" si="22"/>
        <v>0</v>
      </c>
      <c r="J127" s="142">
        <f>J21*(1-'Форма ввода'!$C$72/100)</f>
        <v>0</v>
      </c>
      <c r="K127" s="108">
        <f t="shared" si="10"/>
        <v>0</v>
      </c>
      <c r="L127" s="143">
        <f t="shared" si="8"/>
        <v>0</v>
      </c>
      <c r="M127" s="108">
        <f t="shared" si="11"/>
        <v>0</v>
      </c>
      <c r="N127" s="108">
        <f t="shared" si="12"/>
        <v>0</v>
      </c>
      <c r="O127" s="144"/>
      <c r="P127" s="145"/>
    </row>
    <row r="128" spans="1:16" s="110" customFormat="1">
      <c r="A128" s="139">
        <f t="shared" ref="A128:I128" si="23">A22</f>
        <v>13</v>
      </c>
      <c r="B128" s="140">
        <f t="shared" si="23"/>
        <v>0</v>
      </c>
      <c r="C128" s="140">
        <f t="shared" si="23"/>
        <v>0</v>
      </c>
      <c r="D128" s="140">
        <f t="shared" si="23"/>
        <v>0</v>
      </c>
      <c r="E128" s="140">
        <f t="shared" si="23"/>
        <v>0</v>
      </c>
      <c r="F128" s="140">
        <f t="shared" si="23"/>
        <v>0</v>
      </c>
      <c r="G128" s="140">
        <f t="shared" si="23"/>
        <v>0</v>
      </c>
      <c r="H128" s="140">
        <f t="shared" si="23"/>
        <v>0</v>
      </c>
      <c r="I128" s="141">
        <f t="shared" si="23"/>
        <v>0</v>
      </c>
      <c r="J128" s="142">
        <f>J22*(1-'Форма ввода'!$C$72/100)</f>
        <v>0</v>
      </c>
      <c r="K128" s="108">
        <f t="shared" si="10"/>
        <v>0</v>
      </c>
      <c r="L128" s="143">
        <f t="shared" si="8"/>
        <v>0</v>
      </c>
      <c r="M128" s="108">
        <f t="shared" si="11"/>
        <v>0</v>
      </c>
      <c r="N128" s="108">
        <f t="shared" si="12"/>
        <v>0</v>
      </c>
      <c r="O128" s="144"/>
      <c r="P128" s="145"/>
    </row>
    <row r="129" spans="1:16" s="110" customFormat="1">
      <c r="A129" s="139">
        <f t="shared" ref="A129:I129" si="24">A23</f>
        <v>14</v>
      </c>
      <c r="B129" s="140">
        <f t="shared" si="24"/>
        <v>0</v>
      </c>
      <c r="C129" s="140">
        <f t="shared" si="24"/>
        <v>0</v>
      </c>
      <c r="D129" s="140">
        <f t="shared" si="24"/>
        <v>0</v>
      </c>
      <c r="E129" s="140">
        <f t="shared" si="24"/>
        <v>0</v>
      </c>
      <c r="F129" s="140">
        <f t="shared" si="24"/>
        <v>0</v>
      </c>
      <c r="G129" s="140">
        <f t="shared" si="24"/>
        <v>0</v>
      </c>
      <c r="H129" s="140">
        <f t="shared" si="24"/>
        <v>0</v>
      </c>
      <c r="I129" s="141">
        <f t="shared" si="24"/>
        <v>0</v>
      </c>
      <c r="J129" s="142">
        <f>J23*(1-'Форма ввода'!$C$72/100)</f>
        <v>0</v>
      </c>
      <c r="K129" s="108">
        <f t="shared" si="10"/>
        <v>0</v>
      </c>
      <c r="L129" s="143">
        <f t="shared" si="8"/>
        <v>0</v>
      </c>
      <c r="M129" s="108">
        <f t="shared" si="11"/>
        <v>0</v>
      </c>
      <c r="N129" s="108">
        <f t="shared" si="12"/>
        <v>0</v>
      </c>
      <c r="O129" s="144"/>
      <c r="P129" s="145"/>
    </row>
    <row r="130" spans="1:16" s="110" customFormat="1">
      <c r="A130" s="139">
        <f t="shared" ref="A130:I130" si="25">A24</f>
        <v>15</v>
      </c>
      <c r="B130" s="140">
        <f t="shared" si="25"/>
        <v>0</v>
      </c>
      <c r="C130" s="140">
        <f t="shared" si="25"/>
        <v>0</v>
      </c>
      <c r="D130" s="140">
        <f t="shared" si="25"/>
        <v>0</v>
      </c>
      <c r="E130" s="140">
        <f t="shared" si="25"/>
        <v>0</v>
      </c>
      <c r="F130" s="140">
        <f t="shared" si="25"/>
        <v>0</v>
      </c>
      <c r="G130" s="140">
        <f t="shared" si="25"/>
        <v>0</v>
      </c>
      <c r="H130" s="140">
        <f t="shared" si="25"/>
        <v>0</v>
      </c>
      <c r="I130" s="141">
        <f t="shared" si="25"/>
        <v>0</v>
      </c>
      <c r="J130" s="142">
        <f>J24*(1-'Форма ввода'!$C$72/100)</f>
        <v>0</v>
      </c>
      <c r="K130" s="108">
        <f t="shared" si="10"/>
        <v>0</v>
      </c>
      <c r="L130" s="143">
        <f t="shared" si="8"/>
        <v>0</v>
      </c>
      <c r="M130" s="108">
        <f t="shared" si="11"/>
        <v>0</v>
      </c>
      <c r="N130" s="108">
        <f t="shared" si="12"/>
        <v>0</v>
      </c>
      <c r="O130" s="144"/>
      <c r="P130" s="145"/>
    </row>
    <row r="131" spans="1:16" s="110" customFormat="1">
      <c r="A131" s="139">
        <f t="shared" ref="A131:I131" si="26">A25</f>
        <v>16</v>
      </c>
      <c r="B131" s="140">
        <f t="shared" si="26"/>
        <v>0</v>
      </c>
      <c r="C131" s="140">
        <f t="shared" si="26"/>
        <v>0</v>
      </c>
      <c r="D131" s="140">
        <f t="shared" si="26"/>
        <v>0</v>
      </c>
      <c r="E131" s="140">
        <f t="shared" si="26"/>
        <v>0</v>
      </c>
      <c r="F131" s="140">
        <f t="shared" si="26"/>
        <v>0</v>
      </c>
      <c r="G131" s="140">
        <f t="shared" si="26"/>
        <v>0</v>
      </c>
      <c r="H131" s="140">
        <f t="shared" si="26"/>
        <v>0</v>
      </c>
      <c r="I131" s="141">
        <f t="shared" si="26"/>
        <v>0</v>
      </c>
      <c r="J131" s="142">
        <f>J25*(1-'Форма ввода'!$C$72/100)</f>
        <v>0</v>
      </c>
      <c r="K131" s="108">
        <f t="shared" si="10"/>
        <v>0</v>
      </c>
      <c r="L131" s="143">
        <f t="shared" si="8"/>
        <v>0</v>
      </c>
      <c r="M131" s="108">
        <f t="shared" si="11"/>
        <v>0</v>
      </c>
      <c r="N131" s="108">
        <f t="shared" si="12"/>
        <v>0</v>
      </c>
      <c r="O131" s="144"/>
      <c r="P131" s="145"/>
    </row>
    <row r="132" spans="1:16" s="110" customFormat="1">
      <c r="A132" s="139">
        <f t="shared" ref="A132:I132" si="27">A26</f>
        <v>17</v>
      </c>
      <c r="B132" s="140">
        <f t="shared" si="27"/>
        <v>0</v>
      </c>
      <c r="C132" s="140">
        <f t="shared" si="27"/>
        <v>0</v>
      </c>
      <c r="D132" s="140">
        <f t="shared" si="27"/>
        <v>0</v>
      </c>
      <c r="E132" s="140">
        <f t="shared" si="27"/>
        <v>0</v>
      </c>
      <c r="F132" s="140">
        <f t="shared" si="27"/>
        <v>0</v>
      </c>
      <c r="G132" s="140">
        <f t="shared" si="27"/>
        <v>0</v>
      </c>
      <c r="H132" s="140">
        <f t="shared" si="27"/>
        <v>0</v>
      </c>
      <c r="I132" s="141">
        <f t="shared" si="27"/>
        <v>0</v>
      </c>
      <c r="J132" s="142">
        <f>J26*(1-'Форма ввода'!$C$72/100)</f>
        <v>0</v>
      </c>
      <c r="K132" s="108">
        <f t="shared" si="10"/>
        <v>0</v>
      </c>
      <c r="L132" s="143">
        <f t="shared" si="8"/>
        <v>0</v>
      </c>
      <c r="M132" s="108">
        <f t="shared" si="11"/>
        <v>0</v>
      </c>
      <c r="N132" s="108">
        <f t="shared" si="12"/>
        <v>0</v>
      </c>
      <c r="O132" s="144"/>
      <c r="P132" s="145"/>
    </row>
    <row r="133" spans="1:16" s="110" customFormat="1">
      <c r="A133" s="139">
        <f t="shared" ref="A133:I133" si="28">A27</f>
        <v>18</v>
      </c>
      <c r="B133" s="140">
        <f t="shared" si="28"/>
        <v>0</v>
      </c>
      <c r="C133" s="140">
        <f t="shared" si="28"/>
        <v>0</v>
      </c>
      <c r="D133" s="140">
        <f t="shared" si="28"/>
        <v>0</v>
      </c>
      <c r="E133" s="140">
        <f t="shared" si="28"/>
        <v>0</v>
      </c>
      <c r="F133" s="140">
        <f t="shared" si="28"/>
        <v>0</v>
      </c>
      <c r="G133" s="140">
        <f t="shared" si="28"/>
        <v>0</v>
      </c>
      <c r="H133" s="140">
        <f t="shared" si="28"/>
        <v>0</v>
      </c>
      <c r="I133" s="141">
        <f t="shared" si="28"/>
        <v>0</v>
      </c>
      <c r="J133" s="142">
        <f>J27*(1-'Форма ввода'!$C$72/100)</f>
        <v>0</v>
      </c>
      <c r="K133" s="108">
        <f t="shared" si="10"/>
        <v>0</v>
      </c>
      <c r="L133" s="143">
        <f t="shared" si="8"/>
        <v>0</v>
      </c>
      <c r="M133" s="108">
        <f t="shared" si="11"/>
        <v>0</v>
      </c>
      <c r="N133" s="108">
        <f t="shared" si="12"/>
        <v>0</v>
      </c>
      <c r="O133" s="144"/>
      <c r="P133" s="145"/>
    </row>
    <row r="134" spans="1:16" s="110" customFormat="1">
      <c r="A134" s="139">
        <f t="shared" ref="A134:I134" si="29">A28</f>
        <v>19</v>
      </c>
      <c r="B134" s="140">
        <f t="shared" si="29"/>
        <v>0</v>
      </c>
      <c r="C134" s="140">
        <f t="shared" si="29"/>
        <v>0</v>
      </c>
      <c r="D134" s="140">
        <f t="shared" si="29"/>
        <v>0</v>
      </c>
      <c r="E134" s="140">
        <f t="shared" si="29"/>
        <v>0</v>
      </c>
      <c r="F134" s="140">
        <f t="shared" si="29"/>
        <v>0</v>
      </c>
      <c r="G134" s="140">
        <f t="shared" si="29"/>
        <v>0</v>
      </c>
      <c r="H134" s="140">
        <f t="shared" si="29"/>
        <v>0</v>
      </c>
      <c r="I134" s="141">
        <f t="shared" si="29"/>
        <v>0</v>
      </c>
      <c r="J134" s="142">
        <f>J28*(1-'Форма ввода'!$C$72/100)</f>
        <v>0</v>
      </c>
      <c r="K134" s="108">
        <f t="shared" si="10"/>
        <v>0</v>
      </c>
      <c r="L134" s="143">
        <f t="shared" si="8"/>
        <v>0</v>
      </c>
      <c r="M134" s="108">
        <f t="shared" si="11"/>
        <v>0</v>
      </c>
      <c r="N134" s="108">
        <f t="shared" si="12"/>
        <v>0</v>
      </c>
      <c r="O134" s="144"/>
      <c r="P134" s="145"/>
    </row>
    <row r="135" spans="1:16" s="110" customFormat="1">
      <c r="A135" s="139">
        <f t="shared" ref="A135:I135" si="30">A29</f>
        <v>20</v>
      </c>
      <c r="B135" s="140">
        <f t="shared" si="30"/>
        <v>0</v>
      </c>
      <c r="C135" s="140">
        <f t="shared" si="30"/>
        <v>0</v>
      </c>
      <c r="D135" s="140">
        <f t="shared" si="30"/>
        <v>0</v>
      </c>
      <c r="E135" s="140">
        <f t="shared" si="30"/>
        <v>0</v>
      </c>
      <c r="F135" s="140">
        <f t="shared" si="30"/>
        <v>0</v>
      </c>
      <c r="G135" s="140">
        <f t="shared" si="30"/>
        <v>0</v>
      </c>
      <c r="H135" s="140">
        <f t="shared" si="30"/>
        <v>0</v>
      </c>
      <c r="I135" s="141">
        <f t="shared" si="30"/>
        <v>0</v>
      </c>
      <c r="J135" s="142">
        <f>J29*(1-'Форма ввода'!$C$72/100)</f>
        <v>0</v>
      </c>
      <c r="K135" s="108">
        <f t="shared" si="10"/>
        <v>0</v>
      </c>
      <c r="L135" s="143">
        <f t="shared" si="8"/>
        <v>0</v>
      </c>
      <c r="M135" s="108">
        <f t="shared" si="11"/>
        <v>0</v>
      </c>
      <c r="N135" s="108">
        <f t="shared" si="12"/>
        <v>0</v>
      </c>
      <c r="O135" s="144"/>
      <c r="P135" s="145"/>
    </row>
    <row r="136" spans="1:16" s="110" customFormat="1">
      <c r="A136" s="139">
        <f t="shared" ref="A136:I136" si="31">A30</f>
        <v>21</v>
      </c>
      <c r="B136" s="140">
        <f t="shared" si="31"/>
        <v>0</v>
      </c>
      <c r="C136" s="140">
        <f t="shared" si="31"/>
        <v>0</v>
      </c>
      <c r="D136" s="140">
        <f t="shared" si="31"/>
        <v>0</v>
      </c>
      <c r="E136" s="140">
        <f t="shared" si="31"/>
        <v>0</v>
      </c>
      <c r="F136" s="140">
        <f t="shared" si="31"/>
        <v>0</v>
      </c>
      <c r="G136" s="140">
        <f t="shared" si="31"/>
        <v>0</v>
      </c>
      <c r="H136" s="140">
        <f t="shared" si="31"/>
        <v>0</v>
      </c>
      <c r="I136" s="141">
        <f t="shared" si="31"/>
        <v>0</v>
      </c>
      <c r="J136" s="142">
        <f>J30*(1-'Форма ввода'!$C$72/100)</f>
        <v>0</v>
      </c>
      <c r="K136" s="108">
        <f t="shared" si="10"/>
        <v>0</v>
      </c>
      <c r="L136" s="143">
        <f t="shared" si="8"/>
        <v>0</v>
      </c>
      <c r="M136" s="108">
        <f t="shared" si="11"/>
        <v>0</v>
      </c>
      <c r="N136" s="108">
        <f t="shared" si="12"/>
        <v>0</v>
      </c>
      <c r="O136" s="144"/>
      <c r="P136" s="145"/>
    </row>
    <row r="137" spans="1:16" s="110" customFormat="1">
      <c r="A137" s="139">
        <f t="shared" ref="A137:I137" si="32">A31</f>
        <v>22</v>
      </c>
      <c r="B137" s="140">
        <f t="shared" si="32"/>
        <v>0</v>
      </c>
      <c r="C137" s="140">
        <f t="shared" si="32"/>
        <v>0</v>
      </c>
      <c r="D137" s="140">
        <f t="shared" si="32"/>
        <v>0</v>
      </c>
      <c r="E137" s="140">
        <f t="shared" si="32"/>
        <v>0</v>
      </c>
      <c r="F137" s="140">
        <f t="shared" si="32"/>
        <v>0</v>
      </c>
      <c r="G137" s="140">
        <f t="shared" si="32"/>
        <v>0</v>
      </c>
      <c r="H137" s="140">
        <f t="shared" si="32"/>
        <v>0</v>
      </c>
      <c r="I137" s="141">
        <f t="shared" si="32"/>
        <v>0</v>
      </c>
      <c r="J137" s="142">
        <f>J31*(1-'Форма ввода'!$C$72/100)</f>
        <v>0</v>
      </c>
      <c r="K137" s="108">
        <f t="shared" si="10"/>
        <v>0</v>
      </c>
      <c r="L137" s="143">
        <f t="shared" si="8"/>
        <v>0</v>
      </c>
      <c r="M137" s="108">
        <f t="shared" si="11"/>
        <v>0</v>
      </c>
      <c r="N137" s="108">
        <f t="shared" si="12"/>
        <v>0</v>
      </c>
      <c r="O137" s="144"/>
      <c r="P137" s="145"/>
    </row>
    <row r="138" spans="1:16" s="110" customFormat="1">
      <c r="A138" s="139">
        <f t="shared" ref="A138:I138" si="33">A32</f>
        <v>23</v>
      </c>
      <c r="B138" s="140">
        <f t="shared" si="33"/>
        <v>0</v>
      </c>
      <c r="C138" s="140">
        <f t="shared" si="33"/>
        <v>0</v>
      </c>
      <c r="D138" s="140">
        <f t="shared" si="33"/>
        <v>0</v>
      </c>
      <c r="E138" s="140">
        <f t="shared" si="33"/>
        <v>0</v>
      </c>
      <c r="F138" s="140">
        <f t="shared" si="33"/>
        <v>0</v>
      </c>
      <c r="G138" s="140">
        <f t="shared" si="33"/>
        <v>0</v>
      </c>
      <c r="H138" s="140">
        <f t="shared" si="33"/>
        <v>0</v>
      </c>
      <c r="I138" s="141">
        <f t="shared" si="33"/>
        <v>0</v>
      </c>
      <c r="J138" s="142">
        <f>J32*(1-'Форма ввода'!$C$72/100)</f>
        <v>0</v>
      </c>
      <c r="K138" s="108">
        <f t="shared" si="10"/>
        <v>0</v>
      </c>
      <c r="L138" s="143">
        <f t="shared" si="8"/>
        <v>0</v>
      </c>
      <c r="M138" s="108">
        <f t="shared" si="11"/>
        <v>0</v>
      </c>
      <c r="N138" s="108">
        <f t="shared" si="12"/>
        <v>0</v>
      </c>
      <c r="O138" s="144"/>
      <c r="P138" s="145"/>
    </row>
    <row r="139" spans="1:16" s="110" customFormat="1">
      <c r="A139" s="139">
        <f t="shared" ref="A139:I139" si="34">A33</f>
        <v>24</v>
      </c>
      <c r="B139" s="140">
        <f t="shared" si="34"/>
        <v>0</v>
      </c>
      <c r="C139" s="140">
        <f t="shared" si="34"/>
        <v>0</v>
      </c>
      <c r="D139" s="140">
        <f t="shared" si="34"/>
        <v>0</v>
      </c>
      <c r="E139" s="140">
        <f t="shared" si="34"/>
        <v>0</v>
      </c>
      <c r="F139" s="140">
        <f t="shared" si="34"/>
        <v>0</v>
      </c>
      <c r="G139" s="140">
        <f t="shared" si="34"/>
        <v>0</v>
      </c>
      <c r="H139" s="140">
        <f t="shared" si="34"/>
        <v>0</v>
      </c>
      <c r="I139" s="141">
        <f t="shared" si="34"/>
        <v>0</v>
      </c>
      <c r="J139" s="142">
        <f>J33*(1-'Форма ввода'!$C$72/100)</f>
        <v>0</v>
      </c>
      <c r="K139" s="108">
        <f t="shared" si="10"/>
        <v>0</v>
      </c>
      <c r="L139" s="143">
        <f t="shared" si="8"/>
        <v>0</v>
      </c>
      <c r="M139" s="108">
        <f t="shared" si="11"/>
        <v>0</v>
      </c>
      <c r="N139" s="108">
        <f t="shared" si="12"/>
        <v>0</v>
      </c>
      <c r="O139" s="144"/>
      <c r="P139" s="145"/>
    </row>
    <row r="140" spans="1:16" s="110" customFormat="1">
      <c r="A140" s="139">
        <f t="shared" ref="A140:I140" si="35">A34</f>
        <v>25</v>
      </c>
      <c r="B140" s="140">
        <f t="shared" si="35"/>
        <v>0</v>
      </c>
      <c r="C140" s="140">
        <f t="shared" si="35"/>
        <v>0</v>
      </c>
      <c r="D140" s="140">
        <f t="shared" si="35"/>
        <v>0</v>
      </c>
      <c r="E140" s="140">
        <f t="shared" si="35"/>
        <v>0</v>
      </c>
      <c r="F140" s="140">
        <f t="shared" si="35"/>
        <v>0</v>
      </c>
      <c r="G140" s="140">
        <f t="shared" si="35"/>
        <v>0</v>
      </c>
      <c r="H140" s="140">
        <f t="shared" si="35"/>
        <v>0</v>
      </c>
      <c r="I140" s="141">
        <f t="shared" si="35"/>
        <v>0</v>
      </c>
      <c r="J140" s="142">
        <f>J34*(1-'Форма ввода'!$C$72/100)</f>
        <v>0</v>
      </c>
      <c r="K140" s="108">
        <f t="shared" si="10"/>
        <v>0</v>
      </c>
      <c r="L140" s="143">
        <f t="shared" si="8"/>
        <v>0</v>
      </c>
      <c r="M140" s="108">
        <f t="shared" si="11"/>
        <v>0</v>
      </c>
      <c r="N140" s="108">
        <f t="shared" si="12"/>
        <v>0</v>
      </c>
      <c r="O140" s="144"/>
      <c r="P140" s="145"/>
    </row>
    <row r="141" spans="1:16" s="110" customFormat="1">
      <c r="A141" s="139">
        <f t="shared" ref="A141:I141" si="36">A35</f>
        <v>26</v>
      </c>
      <c r="B141" s="140">
        <f t="shared" si="36"/>
        <v>0</v>
      </c>
      <c r="C141" s="140">
        <f t="shared" si="36"/>
        <v>0</v>
      </c>
      <c r="D141" s="140">
        <f t="shared" si="36"/>
        <v>0</v>
      </c>
      <c r="E141" s="140">
        <f t="shared" si="36"/>
        <v>0</v>
      </c>
      <c r="F141" s="140">
        <f t="shared" si="36"/>
        <v>0</v>
      </c>
      <c r="G141" s="140">
        <f t="shared" si="36"/>
        <v>0</v>
      </c>
      <c r="H141" s="140">
        <f t="shared" si="36"/>
        <v>0</v>
      </c>
      <c r="I141" s="141">
        <f t="shared" si="36"/>
        <v>0</v>
      </c>
      <c r="J141" s="142">
        <f>J35*(1-'Форма ввода'!$C$72/100)</f>
        <v>0</v>
      </c>
      <c r="K141" s="108">
        <f t="shared" si="10"/>
        <v>0</v>
      </c>
      <c r="L141" s="143">
        <f t="shared" si="8"/>
        <v>0</v>
      </c>
      <c r="M141" s="108">
        <f t="shared" si="11"/>
        <v>0</v>
      </c>
      <c r="N141" s="108">
        <f t="shared" si="12"/>
        <v>0</v>
      </c>
      <c r="O141" s="144"/>
      <c r="P141" s="145"/>
    </row>
    <row r="142" spans="1:16" s="110" customFormat="1">
      <c r="A142" s="139">
        <f t="shared" ref="A142:I142" si="37">A36</f>
        <v>27</v>
      </c>
      <c r="B142" s="140">
        <f t="shared" si="37"/>
        <v>0</v>
      </c>
      <c r="C142" s="140">
        <f t="shared" si="37"/>
        <v>0</v>
      </c>
      <c r="D142" s="140">
        <f t="shared" si="37"/>
        <v>0</v>
      </c>
      <c r="E142" s="140">
        <f t="shared" si="37"/>
        <v>0</v>
      </c>
      <c r="F142" s="140">
        <f t="shared" si="37"/>
        <v>0</v>
      </c>
      <c r="G142" s="140">
        <f t="shared" si="37"/>
        <v>0</v>
      </c>
      <c r="H142" s="140">
        <f t="shared" si="37"/>
        <v>0</v>
      </c>
      <c r="I142" s="141">
        <f t="shared" si="37"/>
        <v>0</v>
      </c>
      <c r="J142" s="142">
        <f>J36*(1-'Форма ввода'!$C$72/100)</f>
        <v>0</v>
      </c>
      <c r="K142" s="108">
        <f t="shared" si="10"/>
        <v>0</v>
      </c>
      <c r="L142" s="143">
        <f t="shared" si="8"/>
        <v>0</v>
      </c>
      <c r="M142" s="108">
        <f t="shared" si="11"/>
        <v>0</v>
      </c>
      <c r="N142" s="108">
        <f t="shared" si="12"/>
        <v>0</v>
      </c>
      <c r="O142" s="144"/>
      <c r="P142" s="145"/>
    </row>
    <row r="143" spans="1:16" s="110" customFormat="1">
      <c r="A143" s="139">
        <f t="shared" ref="A143:I143" si="38">A37</f>
        <v>28</v>
      </c>
      <c r="B143" s="140">
        <f t="shared" si="38"/>
        <v>0</v>
      </c>
      <c r="C143" s="140">
        <f t="shared" si="38"/>
        <v>0</v>
      </c>
      <c r="D143" s="140">
        <f t="shared" si="38"/>
        <v>0</v>
      </c>
      <c r="E143" s="140">
        <f t="shared" si="38"/>
        <v>0</v>
      </c>
      <c r="F143" s="140">
        <f t="shared" si="38"/>
        <v>0</v>
      </c>
      <c r="G143" s="140">
        <f t="shared" si="38"/>
        <v>0</v>
      </c>
      <c r="H143" s="140">
        <f t="shared" si="38"/>
        <v>0</v>
      </c>
      <c r="I143" s="141">
        <f t="shared" si="38"/>
        <v>0</v>
      </c>
      <c r="J143" s="142">
        <f>J37*(1-'Форма ввода'!$C$72/100)</f>
        <v>0</v>
      </c>
      <c r="K143" s="108">
        <f t="shared" si="10"/>
        <v>0</v>
      </c>
      <c r="L143" s="143">
        <f t="shared" si="8"/>
        <v>0</v>
      </c>
      <c r="M143" s="108">
        <f t="shared" si="11"/>
        <v>0</v>
      </c>
      <c r="N143" s="108">
        <f t="shared" si="12"/>
        <v>0</v>
      </c>
      <c r="O143" s="144"/>
      <c r="P143" s="145"/>
    </row>
    <row r="144" spans="1:16" s="110" customFormat="1">
      <c r="A144" s="139">
        <f t="shared" ref="A144:I144" si="39">A38</f>
        <v>29</v>
      </c>
      <c r="B144" s="140">
        <f t="shared" si="39"/>
        <v>0</v>
      </c>
      <c r="C144" s="140">
        <f t="shared" si="39"/>
        <v>0</v>
      </c>
      <c r="D144" s="140">
        <f t="shared" si="39"/>
        <v>0</v>
      </c>
      <c r="E144" s="140">
        <f t="shared" si="39"/>
        <v>0</v>
      </c>
      <c r="F144" s="140">
        <f t="shared" si="39"/>
        <v>0</v>
      </c>
      <c r="G144" s="140">
        <f t="shared" si="39"/>
        <v>0</v>
      </c>
      <c r="H144" s="140">
        <f t="shared" si="39"/>
        <v>0</v>
      </c>
      <c r="I144" s="141">
        <f t="shared" si="39"/>
        <v>0</v>
      </c>
      <c r="J144" s="142">
        <f>J38*(1-'Форма ввода'!$C$72/100)</f>
        <v>0</v>
      </c>
      <c r="K144" s="108">
        <f t="shared" si="10"/>
        <v>0</v>
      </c>
      <c r="L144" s="143">
        <f t="shared" si="8"/>
        <v>0</v>
      </c>
      <c r="M144" s="108">
        <f t="shared" si="11"/>
        <v>0</v>
      </c>
      <c r="N144" s="108">
        <f t="shared" si="12"/>
        <v>0</v>
      </c>
      <c r="O144" s="144"/>
      <c r="P144" s="145"/>
    </row>
    <row r="145" spans="1:16" s="110" customFormat="1">
      <c r="A145" s="139">
        <f t="shared" ref="A145:I145" si="40">A39</f>
        <v>30</v>
      </c>
      <c r="B145" s="140">
        <f t="shared" si="40"/>
        <v>0</v>
      </c>
      <c r="C145" s="140">
        <f t="shared" si="40"/>
        <v>0</v>
      </c>
      <c r="D145" s="140">
        <f t="shared" si="40"/>
        <v>0</v>
      </c>
      <c r="E145" s="140">
        <f t="shared" si="40"/>
        <v>0</v>
      </c>
      <c r="F145" s="140">
        <f t="shared" si="40"/>
        <v>0</v>
      </c>
      <c r="G145" s="140">
        <f t="shared" si="40"/>
        <v>0</v>
      </c>
      <c r="H145" s="140">
        <f t="shared" si="40"/>
        <v>0</v>
      </c>
      <c r="I145" s="141">
        <f t="shared" si="40"/>
        <v>0</v>
      </c>
      <c r="J145" s="142">
        <f>J39*(1-'Форма ввода'!$C$72/100)</f>
        <v>0</v>
      </c>
      <c r="K145" s="108">
        <f t="shared" si="10"/>
        <v>0</v>
      </c>
      <c r="L145" s="143">
        <f t="shared" si="8"/>
        <v>0</v>
      </c>
      <c r="M145" s="108">
        <f t="shared" si="11"/>
        <v>0</v>
      </c>
      <c r="N145" s="108">
        <f t="shared" si="12"/>
        <v>0</v>
      </c>
      <c r="O145" s="144"/>
      <c r="P145" s="145"/>
    </row>
    <row r="146" spans="1:16" s="110" customFormat="1">
      <c r="A146" s="139">
        <f t="shared" ref="A146:I146" si="41">A40</f>
        <v>31</v>
      </c>
      <c r="B146" s="140">
        <f t="shared" si="41"/>
        <v>0</v>
      </c>
      <c r="C146" s="140">
        <f t="shared" si="41"/>
        <v>0</v>
      </c>
      <c r="D146" s="140">
        <f t="shared" si="41"/>
        <v>0</v>
      </c>
      <c r="E146" s="140">
        <f t="shared" si="41"/>
        <v>0</v>
      </c>
      <c r="F146" s="140">
        <f t="shared" si="41"/>
        <v>0</v>
      </c>
      <c r="G146" s="140">
        <f t="shared" si="41"/>
        <v>0</v>
      </c>
      <c r="H146" s="140">
        <f t="shared" si="41"/>
        <v>0</v>
      </c>
      <c r="I146" s="141">
        <f t="shared" si="41"/>
        <v>0</v>
      </c>
      <c r="J146" s="142">
        <f>J40*(1-'Форма ввода'!$C$72/100)</f>
        <v>0</v>
      </c>
      <c r="K146" s="108">
        <f t="shared" si="10"/>
        <v>0</v>
      </c>
      <c r="L146" s="143">
        <f t="shared" si="8"/>
        <v>0</v>
      </c>
      <c r="M146" s="108">
        <f t="shared" si="11"/>
        <v>0</v>
      </c>
      <c r="N146" s="108">
        <f t="shared" si="12"/>
        <v>0</v>
      </c>
      <c r="O146" s="144"/>
      <c r="P146" s="145"/>
    </row>
    <row r="147" spans="1:16" s="110" customFormat="1">
      <c r="A147" s="139">
        <f t="shared" ref="A147:I147" si="42">A41</f>
        <v>32</v>
      </c>
      <c r="B147" s="140">
        <f t="shared" si="42"/>
        <v>0</v>
      </c>
      <c r="C147" s="140">
        <f t="shared" si="42"/>
        <v>0</v>
      </c>
      <c r="D147" s="140">
        <f t="shared" si="42"/>
        <v>0</v>
      </c>
      <c r="E147" s="140">
        <f t="shared" si="42"/>
        <v>0</v>
      </c>
      <c r="F147" s="140">
        <f t="shared" si="42"/>
        <v>0</v>
      </c>
      <c r="G147" s="140">
        <f t="shared" si="42"/>
        <v>0</v>
      </c>
      <c r="H147" s="140">
        <f t="shared" si="42"/>
        <v>0</v>
      </c>
      <c r="I147" s="141">
        <f t="shared" si="42"/>
        <v>0</v>
      </c>
      <c r="J147" s="142">
        <f>J41*(1-'Форма ввода'!$C$72/100)</f>
        <v>0</v>
      </c>
      <c r="K147" s="108">
        <f t="shared" si="10"/>
        <v>0</v>
      </c>
      <c r="L147" s="143">
        <f t="shared" si="8"/>
        <v>0</v>
      </c>
      <c r="M147" s="108">
        <f t="shared" si="11"/>
        <v>0</v>
      </c>
      <c r="N147" s="108">
        <f t="shared" si="12"/>
        <v>0</v>
      </c>
      <c r="O147" s="144"/>
      <c r="P147" s="145"/>
    </row>
    <row r="148" spans="1:16" s="110" customFormat="1">
      <c r="A148" s="139">
        <f t="shared" ref="A148:I148" si="43">A42</f>
        <v>33</v>
      </c>
      <c r="B148" s="140">
        <f t="shared" si="43"/>
        <v>0</v>
      </c>
      <c r="C148" s="140">
        <f t="shared" si="43"/>
        <v>0</v>
      </c>
      <c r="D148" s="140">
        <f t="shared" si="43"/>
        <v>0</v>
      </c>
      <c r="E148" s="140">
        <f t="shared" si="43"/>
        <v>0</v>
      </c>
      <c r="F148" s="140">
        <f t="shared" si="43"/>
        <v>0</v>
      </c>
      <c r="G148" s="140">
        <f t="shared" si="43"/>
        <v>0</v>
      </c>
      <c r="H148" s="140">
        <f t="shared" si="43"/>
        <v>0</v>
      </c>
      <c r="I148" s="141">
        <f t="shared" si="43"/>
        <v>0</v>
      </c>
      <c r="J148" s="142">
        <f>J42*(1-'Форма ввода'!$C$72/100)</f>
        <v>0</v>
      </c>
      <c r="K148" s="108">
        <f t="shared" si="10"/>
        <v>0</v>
      </c>
      <c r="L148" s="143">
        <f t="shared" ref="L148:L179" si="44">L42</f>
        <v>0</v>
      </c>
      <c r="M148" s="108">
        <f t="shared" si="11"/>
        <v>0</v>
      </c>
      <c r="N148" s="108">
        <f t="shared" si="12"/>
        <v>0</v>
      </c>
      <c r="O148" s="144"/>
      <c r="P148" s="145"/>
    </row>
    <row r="149" spans="1:16" s="110" customFormat="1">
      <c r="A149" s="139">
        <f t="shared" ref="A149:I149" si="45">A43</f>
        <v>34</v>
      </c>
      <c r="B149" s="140">
        <f t="shared" si="45"/>
        <v>0</v>
      </c>
      <c r="C149" s="140">
        <f t="shared" si="45"/>
        <v>0</v>
      </c>
      <c r="D149" s="140">
        <f t="shared" si="45"/>
        <v>0</v>
      </c>
      <c r="E149" s="140">
        <f t="shared" si="45"/>
        <v>0</v>
      </c>
      <c r="F149" s="140">
        <f t="shared" si="45"/>
        <v>0</v>
      </c>
      <c r="G149" s="140">
        <f t="shared" si="45"/>
        <v>0</v>
      </c>
      <c r="H149" s="140">
        <f t="shared" si="45"/>
        <v>0</v>
      </c>
      <c r="I149" s="141">
        <f t="shared" si="45"/>
        <v>0</v>
      </c>
      <c r="J149" s="142">
        <f>J43*(1-'Форма ввода'!$C$72/100)</f>
        <v>0</v>
      </c>
      <c r="K149" s="108">
        <f t="shared" si="10"/>
        <v>0</v>
      </c>
      <c r="L149" s="143">
        <f t="shared" si="44"/>
        <v>0</v>
      </c>
      <c r="M149" s="108">
        <f t="shared" si="11"/>
        <v>0</v>
      </c>
      <c r="N149" s="108">
        <f t="shared" si="12"/>
        <v>0</v>
      </c>
      <c r="O149" s="144"/>
      <c r="P149" s="145"/>
    </row>
    <row r="150" spans="1:16" s="110" customFormat="1">
      <c r="A150" s="139">
        <f t="shared" ref="A150:I150" si="46">A44</f>
        <v>35</v>
      </c>
      <c r="B150" s="140">
        <f t="shared" si="46"/>
        <v>0</v>
      </c>
      <c r="C150" s="140">
        <f t="shared" si="46"/>
        <v>0</v>
      </c>
      <c r="D150" s="140">
        <f t="shared" si="46"/>
        <v>0</v>
      </c>
      <c r="E150" s="140">
        <f t="shared" si="46"/>
        <v>0</v>
      </c>
      <c r="F150" s="140">
        <f t="shared" si="46"/>
        <v>0</v>
      </c>
      <c r="G150" s="140">
        <f t="shared" si="46"/>
        <v>0</v>
      </c>
      <c r="H150" s="140">
        <f t="shared" si="46"/>
        <v>0</v>
      </c>
      <c r="I150" s="141">
        <f t="shared" si="46"/>
        <v>0</v>
      </c>
      <c r="J150" s="142">
        <f>J44*(1-'Форма ввода'!$C$72/100)</f>
        <v>0</v>
      </c>
      <c r="K150" s="108">
        <f t="shared" si="10"/>
        <v>0</v>
      </c>
      <c r="L150" s="143">
        <f t="shared" si="44"/>
        <v>0</v>
      </c>
      <c r="M150" s="108">
        <f t="shared" si="11"/>
        <v>0</v>
      </c>
      <c r="N150" s="108">
        <f t="shared" si="12"/>
        <v>0</v>
      </c>
      <c r="O150" s="144"/>
      <c r="P150" s="145"/>
    </row>
    <row r="151" spans="1:16" s="110" customFormat="1">
      <c r="A151" s="139">
        <f t="shared" ref="A151:I151" si="47">A45</f>
        <v>36</v>
      </c>
      <c r="B151" s="140">
        <f t="shared" si="47"/>
        <v>0</v>
      </c>
      <c r="C151" s="140">
        <f t="shared" si="47"/>
        <v>0</v>
      </c>
      <c r="D151" s="140">
        <f t="shared" si="47"/>
        <v>0</v>
      </c>
      <c r="E151" s="140">
        <f t="shared" si="47"/>
        <v>0</v>
      </c>
      <c r="F151" s="140">
        <f t="shared" si="47"/>
        <v>0</v>
      </c>
      <c r="G151" s="140">
        <f t="shared" si="47"/>
        <v>0</v>
      </c>
      <c r="H151" s="140">
        <f t="shared" si="47"/>
        <v>0</v>
      </c>
      <c r="I151" s="141">
        <f t="shared" si="47"/>
        <v>0</v>
      </c>
      <c r="J151" s="142">
        <f>J45*(1-'Форма ввода'!$C$72/100)</f>
        <v>0</v>
      </c>
      <c r="K151" s="108">
        <f t="shared" si="10"/>
        <v>0</v>
      </c>
      <c r="L151" s="143">
        <f t="shared" si="44"/>
        <v>0</v>
      </c>
      <c r="M151" s="108">
        <f t="shared" si="11"/>
        <v>0</v>
      </c>
      <c r="N151" s="108">
        <f t="shared" si="12"/>
        <v>0</v>
      </c>
      <c r="O151" s="144"/>
      <c r="P151" s="145"/>
    </row>
    <row r="152" spans="1:16" s="110" customFormat="1">
      <c r="A152" s="139">
        <f t="shared" ref="A152:I152" si="48">A46</f>
        <v>37</v>
      </c>
      <c r="B152" s="140">
        <f t="shared" si="48"/>
        <v>0</v>
      </c>
      <c r="C152" s="140">
        <f t="shared" si="48"/>
        <v>0</v>
      </c>
      <c r="D152" s="140">
        <f t="shared" si="48"/>
        <v>0</v>
      </c>
      <c r="E152" s="140">
        <f t="shared" si="48"/>
        <v>0</v>
      </c>
      <c r="F152" s="140">
        <f t="shared" si="48"/>
        <v>0</v>
      </c>
      <c r="G152" s="140">
        <f t="shared" si="48"/>
        <v>0</v>
      </c>
      <c r="H152" s="140">
        <f t="shared" si="48"/>
        <v>0</v>
      </c>
      <c r="I152" s="141">
        <f t="shared" si="48"/>
        <v>0</v>
      </c>
      <c r="J152" s="142">
        <f>J46*(1-'Форма ввода'!$C$72/100)</f>
        <v>0</v>
      </c>
      <c r="K152" s="108">
        <f t="shared" si="10"/>
        <v>0</v>
      </c>
      <c r="L152" s="143">
        <f t="shared" si="44"/>
        <v>0</v>
      </c>
      <c r="M152" s="108">
        <f t="shared" si="11"/>
        <v>0</v>
      </c>
      <c r="N152" s="108">
        <f t="shared" si="12"/>
        <v>0</v>
      </c>
      <c r="O152" s="144"/>
      <c r="P152" s="145"/>
    </row>
    <row r="153" spans="1:16" s="110" customFormat="1">
      <c r="A153" s="139">
        <f t="shared" ref="A153:I153" si="49">A47</f>
        <v>38</v>
      </c>
      <c r="B153" s="140">
        <f t="shared" si="49"/>
        <v>0</v>
      </c>
      <c r="C153" s="140">
        <f t="shared" si="49"/>
        <v>0</v>
      </c>
      <c r="D153" s="140">
        <f t="shared" si="49"/>
        <v>0</v>
      </c>
      <c r="E153" s="140">
        <f t="shared" si="49"/>
        <v>0</v>
      </c>
      <c r="F153" s="140">
        <f t="shared" si="49"/>
        <v>0</v>
      </c>
      <c r="G153" s="140">
        <f t="shared" si="49"/>
        <v>0</v>
      </c>
      <c r="H153" s="140">
        <f t="shared" si="49"/>
        <v>0</v>
      </c>
      <c r="I153" s="141">
        <f t="shared" si="49"/>
        <v>0</v>
      </c>
      <c r="J153" s="142">
        <f>J47*(1-'Форма ввода'!$C$72/100)</f>
        <v>0</v>
      </c>
      <c r="K153" s="108">
        <f t="shared" si="10"/>
        <v>0</v>
      </c>
      <c r="L153" s="143">
        <f t="shared" si="44"/>
        <v>0</v>
      </c>
      <c r="M153" s="108">
        <f t="shared" si="11"/>
        <v>0</v>
      </c>
      <c r="N153" s="108">
        <f t="shared" si="12"/>
        <v>0</v>
      </c>
      <c r="O153" s="144"/>
      <c r="P153" s="145"/>
    </row>
    <row r="154" spans="1:16" s="110" customFormat="1">
      <c r="A154" s="139">
        <f t="shared" ref="A154:I154" si="50">A48</f>
        <v>39</v>
      </c>
      <c r="B154" s="140">
        <f t="shared" si="50"/>
        <v>0</v>
      </c>
      <c r="C154" s="140">
        <f t="shared" si="50"/>
        <v>0</v>
      </c>
      <c r="D154" s="140">
        <f t="shared" si="50"/>
        <v>0</v>
      </c>
      <c r="E154" s="140">
        <f t="shared" si="50"/>
        <v>0</v>
      </c>
      <c r="F154" s="140">
        <f t="shared" si="50"/>
        <v>0</v>
      </c>
      <c r="G154" s="140">
        <f t="shared" si="50"/>
        <v>0</v>
      </c>
      <c r="H154" s="140">
        <f t="shared" si="50"/>
        <v>0</v>
      </c>
      <c r="I154" s="141">
        <f t="shared" si="50"/>
        <v>0</v>
      </c>
      <c r="J154" s="142">
        <f>J48*(1-'Форма ввода'!$C$72/100)</f>
        <v>0</v>
      </c>
      <c r="K154" s="108">
        <f t="shared" si="10"/>
        <v>0</v>
      </c>
      <c r="L154" s="143">
        <f t="shared" si="44"/>
        <v>0</v>
      </c>
      <c r="M154" s="108">
        <f t="shared" si="11"/>
        <v>0</v>
      </c>
      <c r="N154" s="108">
        <f t="shared" si="12"/>
        <v>0</v>
      </c>
      <c r="O154" s="144"/>
      <c r="P154" s="145"/>
    </row>
    <row r="155" spans="1:16" s="110" customFormat="1">
      <c r="A155" s="139">
        <f t="shared" ref="A155:I155" si="51">A49</f>
        <v>40</v>
      </c>
      <c r="B155" s="140">
        <f t="shared" si="51"/>
        <v>0</v>
      </c>
      <c r="C155" s="140">
        <f t="shared" si="51"/>
        <v>0</v>
      </c>
      <c r="D155" s="140">
        <f t="shared" si="51"/>
        <v>0</v>
      </c>
      <c r="E155" s="140">
        <f t="shared" si="51"/>
        <v>0</v>
      </c>
      <c r="F155" s="140">
        <f t="shared" si="51"/>
        <v>0</v>
      </c>
      <c r="G155" s="140">
        <f t="shared" si="51"/>
        <v>0</v>
      </c>
      <c r="H155" s="140">
        <f t="shared" si="51"/>
        <v>0</v>
      </c>
      <c r="I155" s="141">
        <f t="shared" si="51"/>
        <v>0</v>
      </c>
      <c r="J155" s="142">
        <f>J49*(1-'Форма ввода'!$C$72/100)</f>
        <v>0</v>
      </c>
      <c r="K155" s="108">
        <f t="shared" si="10"/>
        <v>0</v>
      </c>
      <c r="L155" s="143">
        <f t="shared" si="44"/>
        <v>0</v>
      </c>
      <c r="M155" s="108">
        <f t="shared" si="11"/>
        <v>0</v>
      </c>
      <c r="N155" s="108">
        <f t="shared" si="12"/>
        <v>0</v>
      </c>
      <c r="O155" s="144"/>
      <c r="P155" s="145"/>
    </row>
    <row r="156" spans="1:16" s="110" customFormat="1">
      <c r="A156" s="139">
        <f t="shared" ref="A156:I156" si="52">A50</f>
        <v>41</v>
      </c>
      <c r="B156" s="140">
        <f t="shared" si="52"/>
        <v>0</v>
      </c>
      <c r="C156" s="140">
        <f t="shared" si="52"/>
        <v>0</v>
      </c>
      <c r="D156" s="140">
        <f t="shared" si="52"/>
        <v>0</v>
      </c>
      <c r="E156" s="140">
        <f t="shared" si="52"/>
        <v>0</v>
      </c>
      <c r="F156" s="140">
        <f t="shared" si="52"/>
        <v>0</v>
      </c>
      <c r="G156" s="140">
        <f t="shared" si="52"/>
        <v>0</v>
      </c>
      <c r="H156" s="140">
        <f t="shared" si="52"/>
        <v>0</v>
      </c>
      <c r="I156" s="141">
        <f t="shared" si="52"/>
        <v>0</v>
      </c>
      <c r="J156" s="142">
        <f>J50*(1-'Форма ввода'!$C$72/100)</f>
        <v>0</v>
      </c>
      <c r="K156" s="108">
        <f t="shared" si="10"/>
        <v>0</v>
      </c>
      <c r="L156" s="143">
        <f t="shared" si="44"/>
        <v>0</v>
      </c>
      <c r="M156" s="108">
        <f t="shared" si="11"/>
        <v>0</v>
      </c>
      <c r="N156" s="108">
        <f t="shared" si="12"/>
        <v>0</v>
      </c>
      <c r="O156" s="144"/>
      <c r="P156" s="145"/>
    </row>
    <row r="157" spans="1:16" s="110" customFormat="1">
      <c r="A157" s="139">
        <f t="shared" ref="A157:I157" si="53">A51</f>
        <v>42</v>
      </c>
      <c r="B157" s="140">
        <f t="shared" si="53"/>
        <v>0</v>
      </c>
      <c r="C157" s="140">
        <f t="shared" si="53"/>
        <v>0</v>
      </c>
      <c r="D157" s="140">
        <f t="shared" si="53"/>
        <v>0</v>
      </c>
      <c r="E157" s="140">
        <f t="shared" si="53"/>
        <v>0</v>
      </c>
      <c r="F157" s="140">
        <f t="shared" si="53"/>
        <v>0</v>
      </c>
      <c r="G157" s="140">
        <f t="shared" si="53"/>
        <v>0</v>
      </c>
      <c r="H157" s="140">
        <f t="shared" si="53"/>
        <v>0</v>
      </c>
      <c r="I157" s="141">
        <f t="shared" si="53"/>
        <v>0</v>
      </c>
      <c r="J157" s="142">
        <f>J51*(1-'Форма ввода'!$C$72/100)</f>
        <v>0</v>
      </c>
      <c r="K157" s="108">
        <f t="shared" si="10"/>
        <v>0</v>
      </c>
      <c r="L157" s="143">
        <f t="shared" si="44"/>
        <v>0</v>
      </c>
      <c r="M157" s="108">
        <f t="shared" si="11"/>
        <v>0</v>
      </c>
      <c r="N157" s="108">
        <f t="shared" si="12"/>
        <v>0</v>
      </c>
      <c r="O157" s="144"/>
      <c r="P157" s="145"/>
    </row>
    <row r="158" spans="1:16" s="110" customFormat="1">
      <c r="A158" s="139">
        <f t="shared" ref="A158:I158" si="54">A52</f>
        <v>43</v>
      </c>
      <c r="B158" s="140">
        <f t="shared" si="54"/>
        <v>0</v>
      </c>
      <c r="C158" s="140">
        <f t="shared" si="54"/>
        <v>0</v>
      </c>
      <c r="D158" s="140">
        <f t="shared" si="54"/>
        <v>0</v>
      </c>
      <c r="E158" s="140">
        <f t="shared" si="54"/>
        <v>0</v>
      </c>
      <c r="F158" s="140">
        <f t="shared" si="54"/>
        <v>0</v>
      </c>
      <c r="G158" s="140">
        <f t="shared" si="54"/>
        <v>0</v>
      </c>
      <c r="H158" s="140">
        <f t="shared" si="54"/>
        <v>0</v>
      </c>
      <c r="I158" s="141">
        <f t="shared" si="54"/>
        <v>0</v>
      </c>
      <c r="J158" s="142">
        <f>J52*(1-'Форма ввода'!$C$72/100)</f>
        <v>0</v>
      </c>
      <c r="K158" s="108">
        <f t="shared" si="10"/>
        <v>0</v>
      </c>
      <c r="L158" s="143">
        <f t="shared" si="44"/>
        <v>0</v>
      </c>
      <c r="M158" s="108">
        <f t="shared" si="11"/>
        <v>0</v>
      </c>
      <c r="N158" s="108">
        <f t="shared" si="12"/>
        <v>0</v>
      </c>
      <c r="O158" s="144"/>
      <c r="P158" s="145"/>
    </row>
    <row r="159" spans="1:16" s="110" customFormat="1">
      <c r="A159" s="139">
        <f t="shared" ref="A159:I159" si="55">A53</f>
        <v>44</v>
      </c>
      <c r="B159" s="140">
        <f t="shared" si="55"/>
        <v>0</v>
      </c>
      <c r="C159" s="140">
        <f t="shared" si="55"/>
        <v>0</v>
      </c>
      <c r="D159" s="140">
        <f t="shared" si="55"/>
        <v>0</v>
      </c>
      <c r="E159" s="140">
        <f t="shared" si="55"/>
        <v>0</v>
      </c>
      <c r="F159" s="140">
        <f t="shared" si="55"/>
        <v>0</v>
      </c>
      <c r="G159" s="140">
        <f t="shared" si="55"/>
        <v>0</v>
      </c>
      <c r="H159" s="140">
        <f t="shared" si="55"/>
        <v>0</v>
      </c>
      <c r="I159" s="141">
        <f t="shared" si="55"/>
        <v>0</v>
      </c>
      <c r="J159" s="142">
        <f>J53*(1-'Форма ввода'!$C$72/100)</f>
        <v>0</v>
      </c>
      <c r="K159" s="108">
        <f t="shared" si="10"/>
        <v>0</v>
      </c>
      <c r="L159" s="143">
        <f t="shared" si="44"/>
        <v>0</v>
      </c>
      <c r="M159" s="108">
        <f t="shared" si="11"/>
        <v>0</v>
      </c>
      <c r="N159" s="108">
        <f t="shared" si="12"/>
        <v>0</v>
      </c>
      <c r="O159" s="144"/>
      <c r="P159" s="145"/>
    </row>
    <row r="160" spans="1:16" s="110" customFormat="1">
      <c r="A160" s="139">
        <f t="shared" ref="A160:I160" si="56">A54</f>
        <v>45</v>
      </c>
      <c r="B160" s="140">
        <f t="shared" si="56"/>
        <v>0</v>
      </c>
      <c r="C160" s="140">
        <f t="shared" si="56"/>
        <v>0</v>
      </c>
      <c r="D160" s="140">
        <f t="shared" si="56"/>
        <v>0</v>
      </c>
      <c r="E160" s="140">
        <f t="shared" si="56"/>
        <v>0</v>
      </c>
      <c r="F160" s="140">
        <f t="shared" si="56"/>
        <v>0</v>
      </c>
      <c r="G160" s="140">
        <f t="shared" si="56"/>
        <v>0</v>
      </c>
      <c r="H160" s="140">
        <f t="shared" si="56"/>
        <v>0</v>
      </c>
      <c r="I160" s="141">
        <f t="shared" si="56"/>
        <v>0</v>
      </c>
      <c r="J160" s="142">
        <f>J54*(1-'Форма ввода'!$C$72/100)</f>
        <v>0</v>
      </c>
      <c r="K160" s="108">
        <f t="shared" si="10"/>
        <v>0</v>
      </c>
      <c r="L160" s="143">
        <f t="shared" si="44"/>
        <v>0</v>
      </c>
      <c r="M160" s="108">
        <f t="shared" si="11"/>
        <v>0</v>
      </c>
      <c r="N160" s="108">
        <f t="shared" si="12"/>
        <v>0</v>
      </c>
      <c r="O160" s="144"/>
      <c r="P160" s="145"/>
    </row>
    <row r="161" spans="1:16" s="110" customFormat="1">
      <c r="A161" s="139">
        <f t="shared" ref="A161:I161" si="57">A55</f>
        <v>46</v>
      </c>
      <c r="B161" s="140">
        <f t="shared" si="57"/>
        <v>0</v>
      </c>
      <c r="C161" s="140">
        <f t="shared" si="57"/>
        <v>0</v>
      </c>
      <c r="D161" s="140">
        <f t="shared" si="57"/>
        <v>0</v>
      </c>
      <c r="E161" s="140">
        <f t="shared" si="57"/>
        <v>0</v>
      </c>
      <c r="F161" s="140">
        <f t="shared" si="57"/>
        <v>0</v>
      </c>
      <c r="G161" s="140">
        <f t="shared" si="57"/>
        <v>0</v>
      </c>
      <c r="H161" s="140">
        <f t="shared" si="57"/>
        <v>0</v>
      </c>
      <c r="I161" s="141">
        <f t="shared" si="57"/>
        <v>0</v>
      </c>
      <c r="J161" s="142">
        <f>J55*(1-'Форма ввода'!$C$72/100)</f>
        <v>0</v>
      </c>
      <c r="K161" s="108">
        <f t="shared" si="10"/>
        <v>0</v>
      </c>
      <c r="L161" s="143">
        <f t="shared" si="44"/>
        <v>0</v>
      </c>
      <c r="M161" s="108">
        <f t="shared" si="11"/>
        <v>0</v>
      </c>
      <c r="N161" s="108">
        <f t="shared" si="12"/>
        <v>0</v>
      </c>
      <c r="O161" s="144"/>
      <c r="P161" s="145"/>
    </row>
    <row r="162" spans="1:16" s="110" customFormat="1">
      <c r="A162" s="139">
        <f t="shared" ref="A162:I162" si="58">A56</f>
        <v>47</v>
      </c>
      <c r="B162" s="140">
        <f t="shared" si="58"/>
        <v>0</v>
      </c>
      <c r="C162" s="140">
        <f t="shared" si="58"/>
        <v>0</v>
      </c>
      <c r="D162" s="140">
        <f t="shared" si="58"/>
        <v>0</v>
      </c>
      <c r="E162" s="140">
        <f t="shared" si="58"/>
        <v>0</v>
      </c>
      <c r="F162" s="140">
        <f t="shared" si="58"/>
        <v>0</v>
      </c>
      <c r="G162" s="140">
        <f t="shared" si="58"/>
        <v>0</v>
      </c>
      <c r="H162" s="140">
        <f t="shared" si="58"/>
        <v>0</v>
      </c>
      <c r="I162" s="141">
        <f t="shared" si="58"/>
        <v>0</v>
      </c>
      <c r="J162" s="142">
        <f>J56*(1-'Форма ввода'!$C$72/100)</f>
        <v>0</v>
      </c>
      <c r="K162" s="108">
        <f t="shared" si="10"/>
        <v>0</v>
      </c>
      <c r="L162" s="143">
        <f t="shared" si="44"/>
        <v>0</v>
      </c>
      <c r="M162" s="108">
        <f t="shared" si="11"/>
        <v>0</v>
      </c>
      <c r="N162" s="108">
        <f t="shared" si="12"/>
        <v>0</v>
      </c>
      <c r="O162" s="144"/>
      <c r="P162" s="145"/>
    </row>
    <row r="163" spans="1:16" s="110" customFormat="1">
      <c r="A163" s="139">
        <f t="shared" ref="A163:I163" si="59">A57</f>
        <v>48</v>
      </c>
      <c r="B163" s="140">
        <f t="shared" si="59"/>
        <v>0</v>
      </c>
      <c r="C163" s="140">
        <f t="shared" si="59"/>
        <v>0</v>
      </c>
      <c r="D163" s="140">
        <f t="shared" si="59"/>
        <v>0</v>
      </c>
      <c r="E163" s="140">
        <f t="shared" si="59"/>
        <v>0</v>
      </c>
      <c r="F163" s="140">
        <f t="shared" si="59"/>
        <v>0</v>
      </c>
      <c r="G163" s="140">
        <f t="shared" si="59"/>
        <v>0</v>
      </c>
      <c r="H163" s="140">
        <f t="shared" si="59"/>
        <v>0</v>
      </c>
      <c r="I163" s="141">
        <f t="shared" si="59"/>
        <v>0</v>
      </c>
      <c r="J163" s="142">
        <f>J57*(1-'Форма ввода'!$C$72/100)</f>
        <v>0</v>
      </c>
      <c r="K163" s="108">
        <f t="shared" si="10"/>
        <v>0</v>
      </c>
      <c r="L163" s="143">
        <f t="shared" si="44"/>
        <v>0</v>
      </c>
      <c r="M163" s="108">
        <f t="shared" si="11"/>
        <v>0</v>
      </c>
      <c r="N163" s="108">
        <f t="shared" si="12"/>
        <v>0</v>
      </c>
      <c r="O163" s="144"/>
      <c r="P163" s="145"/>
    </row>
    <row r="164" spans="1:16" s="110" customFormat="1">
      <c r="A164" s="139">
        <f t="shared" ref="A164:I164" si="60">A58</f>
        <v>49</v>
      </c>
      <c r="B164" s="140">
        <f t="shared" si="60"/>
        <v>0</v>
      </c>
      <c r="C164" s="140">
        <f t="shared" si="60"/>
        <v>0</v>
      </c>
      <c r="D164" s="140">
        <f t="shared" si="60"/>
        <v>0</v>
      </c>
      <c r="E164" s="140">
        <f t="shared" si="60"/>
        <v>0</v>
      </c>
      <c r="F164" s="140">
        <f t="shared" si="60"/>
        <v>0</v>
      </c>
      <c r="G164" s="140">
        <f t="shared" si="60"/>
        <v>0</v>
      </c>
      <c r="H164" s="140">
        <f t="shared" si="60"/>
        <v>0</v>
      </c>
      <c r="I164" s="141">
        <f t="shared" si="60"/>
        <v>0</v>
      </c>
      <c r="J164" s="142">
        <f>J58*(1-'Форма ввода'!$C$72/100)</f>
        <v>0</v>
      </c>
      <c r="K164" s="108">
        <f t="shared" si="10"/>
        <v>0</v>
      </c>
      <c r="L164" s="143">
        <f t="shared" si="44"/>
        <v>0</v>
      </c>
      <c r="M164" s="108">
        <f t="shared" si="11"/>
        <v>0</v>
      </c>
      <c r="N164" s="108">
        <f t="shared" si="12"/>
        <v>0</v>
      </c>
      <c r="O164" s="144"/>
      <c r="P164" s="145"/>
    </row>
    <row r="165" spans="1:16" s="110" customFormat="1">
      <c r="A165" s="139">
        <f t="shared" ref="A165:I165" si="61">A59</f>
        <v>50</v>
      </c>
      <c r="B165" s="140">
        <f t="shared" si="61"/>
        <v>0</v>
      </c>
      <c r="C165" s="140">
        <f t="shared" si="61"/>
        <v>0</v>
      </c>
      <c r="D165" s="140">
        <f t="shared" si="61"/>
        <v>0</v>
      </c>
      <c r="E165" s="140">
        <f t="shared" si="61"/>
        <v>0</v>
      </c>
      <c r="F165" s="140">
        <f t="shared" si="61"/>
        <v>0</v>
      </c>
      <c r="G165" s="140">
        <f t="shared" si="61"/>
        <v>0</v>
      </c>
      <c r="H165" s="140">
        <f t="shared" si="61"/>
        <v>0</v>
      </c>
      <c r="I165" s="141">
        <f t="shared" si="61"/>
        <v>0</v>
      </c>
      <c r="J165" s="142">
        <f>J59*(1-'Форма ввода'!$C$72/100)</f>
        <v>0</v>
      </c>
      <c r="K165" s="108">
        <f t="shared" si="10"/>
        <v>0</v>
      </c>
      <c r="L165" s="143">
        <f t="shared" si="44"/>
        <v>0</v>
      </c>
      <c r="M165" s="108">
        <f t="shared" si="11"/>
        <v>0</v>
      </c>
      <c r="N165" s="108">
        <f t="shared" si="12"/>
        <v>0</v>
      </c>
      <c r="O165" s="144"/>
      <c r="P165" s="145"/>
    </row>
    <row r="166" spans="1:16" s="110" customFormat="1">
      <c r="A166" s="139">
        <f t="shared" ref="A166:I166" si="62">A60</f>
        <v>51</v>
      </c>
      <c r="B166" s="140">
        <f t="shared" si="62"/>
        <v>0</v>
      </c>
      <c r="C166" s="140">
        <f t="shared" si="62"/>
        <v>0</v>
      </c>
      <c r="D166" s="140">
        <f t="shared" si="62"/>
        <v>0</v>
      </c>
      <c r="E166" s="140">
        <f t="shared" si="62"/>
        <v>0</v>
      </c>
      <c r="F166" s="140">
        <f t="shared" si="62"/>
        <v>0</v>
      </c>
      <c r="G166" s="140">
        <f t="shared" si="62"/>
        <v>0</v>
      </c>
      <c r="H166" s="140">
        <f t="shared" si="62"/>
        <v>0</v>
      </c>
      <c r="I166" s="141">
        <f t="shared" si="62"/>
        <v>0</v>
      </c>
      <c r="J166" s="142">
        <f>J60*(1-'Форма ввода'!$C$72/100)</f>
        <v>0</v>
      </c>
      <c r="K166" s="108">
        <f t="shared" si="10"/>
        <v>0</v>
      </c>
      <c r="L166" s="143">
        <f t="shared" si="44"/>
        <v>0</v>
      </c>
      <c r="M166" s="108">
        <f t="shared" si="11"/>
        <v>0</v>
      </c>
      <c r="N166" s="108">
        <f t="shared" si="12"/>
        <v>0</v>
      </c>
      <c r="O166" s="144"/>
      <c r="P166" s="145"/>
    </row>
    <row r="167" spans="1:16" s="110" customFormat="1">
      <c r="A167" s="139">
        <f t="shared" ref="A167:I167" si="63">A61</f>
        <v>52</v>
      </c>
      <c r="B167" s="140">
        <f t="shared" si="63"/>
        <v>0</v>
      </c>
      <c r="C167" s="140">
        <f t="shared" si="63"/>
        <v>0</v>
      </c>
      <c r="D167" s="140">
        <f t="shared" si="63"/>
        <v>0</v>
      </c>
      <c r="E167" s="140">
        <f t="shared" si="63"/>
        <v>0</v>
      </c>
      <c r="F167" s="140">
        <f t="shared" si="63"/>
        <v>0</v>
      </c>
      <c r="G167" s="140">
        <f t="shared" si="63"/>
        <v>0</v>
      </c>
      <c r="H167" s="140">
        <f t="shared" si="63"/>
        <v>0</v>
      </c>
      <c r="I167" s="141">
        <f t="shared" si="63"/>
        <v>0</v>
      </c>
      <c r="J167" s="142">
        <f>J61*(1-'Форма ввода'!$C$72/100)</f>
        <v>0</v>
      </c>
      <c r="K167" s="108">
        <f t="shared" si="10"/>
        <v>0</v>
      </c>
      <c r="L167" s="143">
        <f t="shared" si="44"/>
        <v>0</v>
      </c>
      <c r="M167" s="108">
        <f t="shared" si="11"/>
        <v>0</v>
      </c>
      <c r="N167" s="108">
        <f t="shared" si="12"/>
        <v>0</v>
      </c>
      <c r="O167" s="144"/>
      <c r="P167" s="145"/>
    </row>
    <row r="168" spans="1:16" s="110" customFormat="1">
      <c r="A168" s="139">
        <f t="shared" ref="A168:I168" si="64">A62</f>
        <v>53</v>
      </c>
      <c r="B168" s="140">
        <f t="shared" si="64"/>
        <v>0</v>
      </c>
      <c r="C168" s="140">
        <f t="shared" si="64"/>
        <v>0</v>
      </c>
      <c r="D168" s="140">
        <f t="shared" si="64"/>
        <v>0</v>
      </c>
      <c r="E168" s="140">
        <f t="shared" si="64"/>
        <v>0</v>
      </c>
      <c r="F168" s="140">
        <f t="shared" si="64"/>
        <v>0</v>
      </c>
      <c r="G168" s="140">
        <f t="shared" si="64"/>
        <v>0</v>
      </c>
      <c r="H168" s="140">
        <f t="shared" si="64"/>
        <v>0</v>
      </c>
      <c r="I168" s="141">
        <f t="shared" si="64"/>
        <v>0</v>
      </c>
      <c r="J168" s="142">
        <f>J62*(1-'Форма ввода'!$C$72/100)</f>
        <v>0</v>
      </c>
      <c r="K168" s="108">
        <f t="shared" si="10"/>
        <v>0</v>
      </c>
      <c r="L168" s="143">
        <f t="shared" si="44"/>
        <v>0</v>
      </c>
      <c r="M168" s="108">
        <f t="shared" si="11"/>
        <v>0</v>
      </c>
      <c r="N168" s="108">
        <f t="shared" si="12"/>
        <v>0</v>
      </c>
      <c r="O168" s="144"/>
      <c r="P168" s="145"/>
    </row>
    <row r="169" spans="1:16" s="110" customFormat="1">
      <c r="A169" s="139">
        <f t="shared" ref="A169:I169" si="65">A63</f>
        <v>54</v>
      </c>
      <c r="B169" s="140">
        <f t="shared" si="65"/>
        <v>0</v>
      </c>
      <c r="C169" s="140">
        <f t="shared" si="65"/>
        <v>0</v>
      </c>
      <c r="D169" s="140">
        <f t="shared" si="65"/>
        <v>0</v>
      </c>
      <c r="E169" s="140">
        <f t="shared" si="65"/>
        <v>0</v>
      </c>
      <c r="F169" s="140">
        <f t="shared" si="65"/>
        <v>0</v>
      </c>
      <c r="G169" s="140">
        <f t="shared" si="65"/>
        <v>0</v>
      </c>
      <c r="H169" s="140">
        <f t="shared" si="65"/>
        <v>0</v>
      </c>
      <c r="I169" s="141">
        <f t="shared" si="65"/>
        <v>0</v>
      </c>
      <c r="J169" s="142">
        <f>J63*(1-'Форма ввода'!$C$72/100)</f>
        <v>0</v>
      </c>
      <c r="K169" s="108">
        <f t="shared" si="10"/>
        <v>0</v>
      </c>
      <c r="L169" s="143">
        <f t="shared" si="44"/>
        <v>0</v>
      </c>
      <c r="M169" s="108">
        <f t="shared" si="11"/>
        <v>0</v>
      </c>
      <c r="N169" s="108">
        <f t="shared" si="12"/>
        <v>0</v>
      </c>
      <c r="O169" s="144"/>
      <c r="P169" s="145"/>
    </row>
    <row r="170" spans="1:16" s="110" customFormat="1">
      <c r="A170" s="139">
        <f t="shared" ref="A170:I170" si="66">A64</f>
        <v>55</v>
      </c>
      <c r="B170" s="140">
        <f t="shared" si="66"/>
        <v>0</v>
      </c>
      <c r="C170" s="140">
        <f t="shared" si="66"/>
        <v>0</v>
      </c>
      <c r="D170" s="140">
        <f t="shared" si="66"/>
        <v>0</v>
      </c>
      <c r="E170" s="140">
        <f t="shared" si="66"/>
        <v>0</v>
      </c>
      <c r="F170" s="140">
        <f t="shared" si="66"/>
        <v>0</v>
      </c>
      <c r="G170" s="140">
        <f t="shared" si="66"/>
        <v>0</v>
      </c>
      <c r="H170" s="140">
        <f t="shared" si="66"/>
        <v>0</v>
      </c>
      <c r="I170" s="141">
        <f t="shared" si="66"/>
        <v>0</v>
      </c>
      <c r="J170" s="142">
        <f>J64*(1-'Форма ввода'!$C$72/100)</f>
        <v>0</v>
      </c>
      <c r="K170" s="108">
        <f t="shared" si="10"/>
        <v>0</v>
      </c>
      <c r="L170" s="143">
        <f t="shared" si="44"/>
        <v>0</v>
      </c>
      <c r="M170" s="108">
        <f t="shared" si="11"/>
        <v>0</v>
      </c>
      <c r="N170" s="108">
        <f t="shared" si="12"/>
        <v>0</v>
      </c>
      <c r="O170" s="144"/>
      <c r="P170" s="145"/>
    </row>
    <row r="171" spans="1:16" s="110" customFormat="1">
      <c r="A171" s="139">
        <f t="shared" ref="A171:I171" si="67">A65</f>
        <v>56</v>
      </c>
      <c r="B171" s="140">
        <f t="shared" si="67"/>
        <v>0</v>
      </c>
      <c r="C171" s="140">
        <f t="shared" si="67"/>
        <v>0</v>
      </c>
      <c r="D171" s="140">
        <f t="shared" si="67"/>
        <v>0</v>
      </c>
      <c r="E171" s="140">
        <f t="shared" si="67"/>
        <v>0</v>
      </c>
      <c r="F171" s="140">
        <f t="shared" si="67"/>
        <v>0</v>
      </c>
      <c r="G171" s="140">
        <f t="shared" si="67"/>
        <v>0</v>
      </c>
      <c r="H171" s="140">
        <f t="shared" si="67"/>
        <v>0</v>
      </c>
      <c r="I171" s="141">
        <f t="shared" si="67"/>
        <v>0</v>
      </c>
      <c r="J171" s="142">
        <f>J65*(1-'Форма ввода'!$C$72/100)</f>
        <v>0</v>
      </c>
      <c r="K171" s="108">
        <f t="shared" si="10"/>
        <v>0</v>
      </c>
      <c r="L171" s="143">
        <f t="shared" si="44"/>
        <v>0</v>
      </c>
      <c r="M171" s="108">
        <f t="shared" si="11"/>
        <v>0</v>
      </c>
      <c r="N171" s="108">
        <f t="shared" si="12"/>
        <v>0</v>
      </c>
      <c r="O171" s="144"/>
      <c r="P171" s="145"/>
    </row>
    <row r="172" spans="1:16" s="110" customFormat="1">
      <c r="A172" s="139">
        <f t="shared" ref="A172:I172" si="68">A66</f>
        <v>57</v>
      </c>
      <c r="B172" s="140">
        <f t="shared" si="68"/>
        <v>0</v>
      </c>
      <c r="C172" s="140">
        <f t="shared" si="68"/>
        <v>0</v>
      </c>
      <c r="D172" s="140">
        <f t="shared" si="68"/>
        <v>0</v>
      </c>
      <c r="E172" s="140">
        <f t="shared" si="68"/>
        <v>0</v>
      </c>
      <c r="F172" s="140">
        <f t="shared" si="68"/>
        <v>0</v>
      </c>
      <c r="G172" s="140">
        <f t="shared" si="68"/>
        <v>0</v>
      </c>
      <c r="H172" s="140">
        <f t="shared" si="68"/>
        <v>0</v>
      </c>
      <c r="I172" s="141">
        <f t="shared" si="68"/>
        <v>0</v>
      </c>
      <c r="J172" s="142">
        <f>J66*(1-'Форма ввода'!$C$72/100)</f>
        <v>0</v>
      </c>
      <c r="K172" s="108">
        <f t="shared" si="10"/>
        <v>0</v>
      </c>
      <c r="L172" s="143">
        <f t="shared" si="44"/>
        <v>0</v>
      </c>
      <c r="M172" s="108">
        <f t="shared" si="11"/>
        <v>0</v>
      </c>
      <c r="N172" s="108">
        <f t="shared" si="12"/>
        <v>0</v>
      </c>
      <c r="O172" s="144"/>
      <c r="P172" s="145"/>
    </row>
    <row r="173" spans="1:16" s="110" customFormat="1">
      <c r="A173" s="139">
        <f t="shared" ref="A173:I173" si="69">A67</f>
        <v>58</v>
      </c>
      <c r="B173" s="140">
        <f t="shared" si="69"/>
        <v>0</v>
      </c>
      <c r="C173" s="140">
        <f t="shared" si="69"/>
        <v>0</v>
      </c>
      <c r="D173" s="140">
        <f t="shared" si="69"/>
        <v>0</v>
      </c>
      <c r="E173" s="140">
        <f t="shared" si="69"/>
        <v>0</v>
      </c>
      <c r="F173" s="140">
        <f t="shared" si="69"/>
        <v>0</v>
      </c>
      <c r="G173" s="140">
        <f t="shared" si="69"/>
        <v>0</v>
      </c>
      <c r="H173" s="140">
        <f t="shared" si="69"/>
        <v>0</v>
      </c>
      <c r="I173" s="141">
        <f t="shared" si="69"/>
        <v>0</v>
      </c>
      <c r="J173" s="142">
        <f>J67*(1-'Форма ввода'!$C$72/100)</f>
        <v>0</v>
      </c>
      <c r="K173" s="108">
        <f t="shared" si="10"/>
        <v>0</v>
      </c>
      <c r="L173" s="143">
        <f t="shared" si="44"/>
        <v>0</v>
      </c>
      <c r="M173" s="108">
        <f t="shared" si="11"/>
        <v>0</v>
      </c>
      <c r="N173" s="108">
        <f t="shared" si="12"/>
        <v>0</v>
      </c>
      <c r="O173" s="144"/>
      <c r="P173" s="145"/>
    </row>
    <row r="174" spans="1:16" s="110" customFormat="1">
      <c r="A174" s="139">
        <f t="shared" ref="A174:I174" si="70">A68</f>
        <v>59</v>
      </c>
      <c r="B174" s="140">
        <f t="shared" si="70"/>
        <v>0</v>
      </c>
      <c r="C174" s="140">
        <f t="shared" si="70"/>
        <v>0</v>
      </c>
      <c r="D174" s="140">
        <f t="shared" si="70"/>
        <v>0</v>
      </c>
      <c r="E174" s="140">
        <f t="shared" si="70"/>
        <v>0</v>
      </c>
      <c r="F174" s="140">
        <f t="shared" si="70"/>
        <v>0</v>
      </c>
      <c r="G174" s="140">
        <f t="shared" si="70"/>
        <v>0</v>
      </c>
      <c r="H174" s="140">
        <f t="shared" si="70"/>
        <v>0</v>
      </c>
      <c r="I174" s="141">
        <f t="shared" si="70"/>
        <v>0</v>
      </c>
      <c r="J174" s="142">
        <f>J68*(1-'Форма ввода'!$C$72/100)</f>
        <v>0</v>
      </c>
      <c r="K174" s="108">
        <f t="shared" si="10"/>
        <v>0</v>
      </c>
      <c r="L174" s="143">
        <f t="shared" si="44"/>
        <v>0</v>
      </c>
      <c r="M174" s="108">
        <f t="shared" si="11"/>
        <v>0</v>
      </c>
      <c r="N174" s="108">
        <f t="shared" si="12"/>
        <v>0</v>
      </c>
      <c r="O174" s="144"/>
      <c r="P174" s="145"/>
    </row>
    <row r="175" spans="1:16" s="110" customFormat="1">
      <c r="A175" s="139">
        <f t="shared" ref="A175:I175" si="71">A69</f>
        <v>60</v>
      </c>
      <c r="B175" s="140">
        <f t="shared" si="71"/>
        <v>0</v>
      </c>
      <c r="C175" s="140">
        <f t="shared" si="71"/>
        <v>0</v>
      </c>
      <c r="D175" s="140">
        <f t="shared" si="71"/>
        <v>0</v>
      </c>
      <c r="E175" s="140">
        <f t="shared" si="71"/>
        <v>0</v>
      </c>
      <c r="F175" s="140">
        <f t="shared" si="71"/>
        <v>0</v>
      </c>
      <c r="G175" s="140">
        <f t="shared" si="71"/>
        <v>0</v>
      </c>
      <c r="H175" s="140">
        <f t="shared" si="71"/>
        <v>0</v>
      </c>
      <c r="I175" s="141">
        <f t="shared" si="71"/>
        <v>0</v>
      </c>
      <c r="J175" s="142">
        <f>J69*(1-'Форма ввода'!$C$72/100)</f>
        <v>0</v>
      </c>
      <c r="K175" s="108">
        <f t="shared" si="10"/>
        <v>0</v>
      </c>
      <c r="L175" s="143">
        <f t="shared" si="44"/>
        <v>0</v>
      </c>
      <c r="M175" s="108">
        <f t="shared" si="11"/>
        <v>0</v>
      </c>
      <c r="N175" s="108">
        <f t="shared" si="12"/>
        <v>0</v>
      </c>
      <c r="O175" s="144"/>
      <c r="P175" s="145"/>
    </row>
    <row r="176" spans="1:16" s="110" customFormat="1">
      <c r="A176" s="139">
        <f t="shared" ref="A176:I176" si="72">A70</f>
        <v>61</v>
      </c>
      <c r="B176" s="140">
        <f t="shared" si="72"/>
        <v>0</v>
      </c>
      <c r="C176" s="140">
        <f t="shared" si="72"/>
        <v>0</v>
      </c>
      <c r="D176" s="140">
        <f t="shared" si="72"/>
        <v>0</v>
      </c>
      <c r="E176" s="140">
        <f t="shared" si="72"/>
        <v>0</v>
      </c>
      <c r="F176" s="140">
        <f t="shared" si="72"/>
        <v>0</v>
      </c>
      <c r="G176" s="140">
        <f t="shared" si="72"/>
        <v>0</v>
      </c>
      <c r="H176" s="140">
        <f t="shared" si="72"/>
        <v>0</v>
      </c>
      <c r="I176" s="141">
        <f t="shared" si="72"/>
        <v>0</v>
      </c>
      <c r="J176" s="142">
        <f>J70*(1-'Форма ввода'!$C$72/100)</f>
        <v>0</v>
      </c>
      <c r="K176" s="108">
        <f t="shared" si="10"/>
        <v>0</v>
      </c>
      <c r="L176" s="143">
        <f t="shared" si="44"/>
        <v>0</v>
      </c>
      <c r="M176" s="108">
        <f t="shared" si="11"/>
        <v>0</v>
      </c>
      <c r="N176" s="108">
        <f t="shared" si="12"/>
        <v>0</v>
      </c>
      <c r="O176" s="144"/>
      <c r="P176" s="145"/>
    </row>
    <row r="177" spans="1:16" s="110" customFormat="1">
      <c r="A177" s="139">
        <f t="shared" ref="A177:I177" si="73">A71</f>
        <v>62</v>
      </c>
      <c r="B177" s="140">
        <f t="shared" si="73"/>
        <v>0</v>
      </c>
      <c r="C177" s="140">
        <f t="shared" si="73"/>
        <v>0</v>
      </c>
      <c r="D177" s="140">
        <f t="shared" si="73"/>
        <v>0</v>
      </c>
      <c r="E177" s="140">
        <f t="shared" si="73"/>
        <v>0</v>
      </c>
      <c r="F177" s="140">
        <f t="shared" si="73"/>
        <v>0</v>
      </c>
      <c r="G177" s="140">
        <f t="shared" si="73"/>
        <v>0</v>
      </c>
      <c r="H177" s="140">
        <f t="shared" si="73"/>
        <v>0</v>
      </c>
      <c r="I177" s="141">
        <f t="shared" si="73"/>
        <v>0</v>
      </c>
      <c r="J177" s="142">
        <f>J71*(1-'Форма ввода'!$C$72/100)</f>
        <v>0</v>
      </c>
      <c r="K177" s="108">
        <f t="shared" si="10"/>
        <v>0</v>
      </c>
      <c r="L177" s="143">
        <f t="shared" si="44"/>
        <v>0</v>
      </c>
      <c r="M177" s="108">
        <f t="shared" si="11"/>
        <v>0</v>
      </c>
      <c r="N177" s="108">
        <f t="shared" si="12"/>
        <v>0</v>
      </c>
      <c r="O177" s="144"/>
      <c r="P177" s="145"/>
    </row>
    <row r="178" spans="1:16" s="110" customFormat="1">
      <c r="A178" s="139">
        <f t="shared" ref="A178:I178" si="74">A72</f>
        <v>63</v>
      </c>
      <c r="B178" s="140">
        <f t="shared" si="74"/>
        <v>0</v>
      </c>
      <c r="C178" s="140">
        <f t="shared" si="74"/>
        <v>0</v>
      </c>
      <c r="D178" s="140">
        <f t="shared" si="74"/>
        <v>0</v>
      </c>
      <c r="E178" s="140">
        <f t="shared" si="74"/>
        <v>0</v>
      </c>
      <c r="F178" s="140">
        <f t="shared" si="74"/>
        <v>0</v>
      </c>
      <c r="G178" s="140">
        <f t="shared" si="74"/>
        <v>0</v>
      </c>
      <c r="H178" s="140">
        <f t="shared" si="74"/>
        <v>0</v>
      </c>
      <c r="I178" s="141">
        <f t="shared" si="74"/>
        <v>0</v>
      </c>
      <c r="J178" s="142">
        <f>J72*(1-'Форма ввода'!$C$72/100)</f>
        <v>0</v>
      </c>
      <c r="K178" s="108">
        <f t="shared" si="10"/>
        <v>0</v>
      </c>
      <c r="L178" s="143">
        <f t="shared" si="44"/>
        <v>0</v>
      </c>
      <c r="M178" s="108">
        <f t="shared" si="11"/>
        <v>0</v>
      </c>
      <c r="N178" s="108">
        <f t="shared" si="12"/>
        <v>0</v>
      </c>
      <c r="O178" s="144"/>
      <c r="P178" s="145"/>
    </row>
    <row r="179" spans="1:16" s="110" customFormat="1">
      <c r="A179" s="139">
        <f t="shared" ref="A179:I179" si="75">A73</f>
        <v>64</v>
      </c>
      <c r="B179" s="140">
        <f t="shared" si="75"/>
        <v>0</v>
      </c>
      <c r="C179" s="140">
        <f t="shared" si="75"/>
        <v>0</v>
      </c>
      <c r="D179" s="140">
        <f t="shared" si="75"/>
        <v>0</v>
      </c>
      <c r="E179" s="140">
        <f t="shared" si="75"/>
        <v>0</v>
      </c>
      <c r="F179" s="140">
        <f t="shared" si="75"/>
        <v>0</v>
      </c>
      <c r="G179" s="140">
        <f t="shared" si="75"/>
        <v>0</v>
      </c>
      <c r="H179" s="140">
        <f t="shared" si="75"/>
        <v>0</v>
      </c>
      <c r="I179" s="141">
        <f t="shared" si="75"/>
        <v>0</v>
      </c>
      <c r="J179" s="142">
        <f>J73*(1-'Форма ввода'!$C$72/100)</f>
        <v>0</v>
      </c>
      <c r="K179" s="108">
        <f t="shared" si="10"/>
        <v>0</v>
      </c>
      <c r="L179" s="143">
        <f t="shared" si="44"/>
        <v>0</v>
      </c>
      <c r="M179" s="108">
        <f t="shared" si="11"/>
        <v>0</v>
      </c>
      <c r="N179" s="108">
        <f t="shared" si="12"/>
        <v>0</v>
      </c>
      <c r="O179" s="144"/>
      <c r="P179" s="145"/>
    </row>
    <row r="180" spans="1:16" s="110" customFormat="1">
      <c r="A180" s="139">
        <f t="shared" ref="A180:I180" si="76">A74</f>
        <v>65</v>
      </c>
      <c r="B180" s="140">
        <f t="shared" si="76"/>
        <v>0</v>
      </c>
      <c r="C180" s="140">
        <f t="shared" si="76"/>
        <v>0</v>
      </c>
      <c r="D180" s="140">
        <f t="shared" si="76"/>
        <v>0</v>
      </c>
      <c r="E180" s="140">
        <f t="shared" si="76"/>
        <v>0</v>
      </c>
      <c r="F180" s="140">
        <f t="shared" si="76"/>
        <v>0</v>
      </c>
      <c r="G180" s="140">
        <f t="shared" si="76"/>
        <v>0</v>
      </c>
      <c r="H180" s="140">
        <f t="shared" si="76"/>
        <v>0</v>
      </c>
      <c r="I180" s="141">
        <f t="shared" si="76"/>
        <v>0</v>
      </c>
      <c r="J180" s="142">
        <f>J74*(1-'Форма ввода'!$C$72/100)</f>
        <v>0</v>
      </c>
      <c r="K180" s="108">
        <f t="shared" si="10"/>
        <v>0</v>
      </c>
      <c r="L180" s="143">
        <f t="shared" ref="L180:L185" si="77">L74</f>
        <v>0</v>
      </c>
      <c r="M180" s="108">
        <f t="shared" si="11"/>
        <v>0</v>
      </c>
      <c r="N180" s="108">
        <f t="shared" si="12"/>
        <v>0</v>
      </c>
      <c r="O180" s="144"/>
      <c r="P180" s="145"/>
    </row>
    <row r="181" spans="1:16" s="110" customFormat="1">
      <c r="A181" s="139">
        <f t="shared" ref="A181:I181" si="78">A75</f>
        <v>66</v>
      </c>
      <c r="B181" s="140">
        <f t="shared" si="78"/>
        <v>0</v>
      </c>
      <c r="C181" s="140">
        <f t="shared" si="78"/>
        <v>0</v>
      </c>
      <c r="D181" s="140">
        <f t="shared" si="78"/>
        <v>0</v>
      </c>
      <c r="E181" s="140">
        <f t="shared" si="78"/>
        <v>0</v>
      </c>
      <c r="F181" s="140">
        <f t="shared" si="78"/>
        <v>0</v>
      </c>
      <c r="G181" s="140">
        <f t="shared" si="78"/>
        <v>0</v>
      </c>
      <c r="H181" s="140">
        <f t="shared" si="78"/>
        <v>0</v>
      </c>
      <c r="I181" s="141">
        <f t="shared" si="78"/>
        <v>0</v>
      </c>
      <c r="J181" s="142">
        <f>J75*(1-'Форма ввода'!$C$72/100)</f>
        <v>0</v>
      </c>
      <c r="K181" s="108">
        <f t="shared" ref="K181:K185" si="79">ROUND(I181*J181,2)</f>
        <v>0</v>
      </c>
      <c r="L181" s="143">
        <f t="shared" si="77"/>
        <v>0</v>
      </c>
      <c r="M181" s="108">
        <f t="shared" ref="M181:M185" si="80">IF(L181="Без НДС",0,ROUND(K181*L181,2))</f>
        <v>0</v>
      </c>
      <c r="N181" s="108">
        <f t="shared" ref="N181:N185" si="81">M181+K181</f>
        <v>0</v>
      </c>
      <c r="O181" s="144"/>
      <c r="P181" s="145"/>
    </row>
    <row r="182" spans="1:16" s="110" customFormat="1">
      <c r="A182" s="139">
        <f t="shared" ref="A182:I182" si="82">A76</f>
        <v>67</v>
      </c>
      <c r="B182" s="140">
        <f t="shared" si="82"/>
        <v>0</v>
      </c>
      <c r="C182" s="140">
        <f t="shared" si="82"/>
        <v>0</v>
      </c>
      <c r="D182" s="140">
        <f t="shared" si="82"/>
        <v>0</v>
      </c>
      <c r="E182" s="140">
        <f t="shared" si="82"/>
        <v>0</v>
      </c>
      <c r="F182" s="140">
        <f t="shared" si="82"/>
        <v>0</v>
      </c>
      <c r="G182" s="140">
        <f t="shared" si="82"/>
        <v>0</v>
      </c>
      <c r="H182" s="140">
        <f t="shared" si="82"/>
        <v>0</v>
      </c>
      <c r="I182" s="141">
        <f t="shared" si="82"/>
        <v>0</v>
      </c>
      <c r="J182" s="142">
        <f>J76*(1-'Форма ввода'!$C$72/100)</f>
        <v>0</v>
      </c>
      <c r="K182" s="108">
        <f t="shared" si="79"/>
        <v>0</v>
      </c>
      <c r="L182" s="143">
        <f t="shared" si="77"/>
        <v>0</v>
      </c>
      <c r="M182" s="108">
        <f t="shared" si="80"/>
        <v>0</v>
      </c>
      <c r="N182" s="108">
        <f t="shared" si="81"/>
        <v>0</v>
      </c>
      <c r="O182" s="144"/>
      <c r="P182" s="145"/>
    </row>
    <row r="183" spans="1:16" s="110" customFormat="1">
      <c r="A183" s="139">
        <f t="shared" ref="A183:I183" si="83">A77</f>
        <v>68</v>
      </c>
      <c r="B183" s="140">
        <f t="shared" si="83"/>
        <v>0</v>
      </c>
      <c r="C183" s="140">
        <f t="shared" si="83"/>
        <v>0</v>
      </c>
      <c r="D183" s="140">
        <f t="shared" si="83"/>
        <v>0</v>
      </c>
      <c r="E183" s="140">
        <f t="shared" si="83"/>
        <v>0</v>
      </c>
      <c r="F183" s="140">
        <f t="shared" si="83"/>
        <v>0</v>
      </c>
      <c r="G183" s="140">
        <f t="shared" si="83"/>
        <v>0</v>
      </c>
      <c r="H183" s="140">
        <f t="shared" si="83"/>
        <v>0</v>
      </c>
      <c r="I183" s="141">
        <f t="shared" si="83"/>
        <v>0</v>
      </c>
      <c r="J183" s="142">
        <f>J77*(1-'Форма ввода'!$C$72/100)</f>
        <v>0</v>
      </c>
      <c r="K183" s="108">
        <f t="shared" si="79"/>
        <v>0</v>
      </c>
      <c r="L183" s="143">
        <f t="shared" si="77"/>
        <v>0</v>
      </c>
      <c r="M183" s="108">
        <f t="shared" si="80"/>
        <v>0</v>
      </c>
      <c r="N183" s="108">
        <f t="shared" si="81"/>
        <v>0</v>
      </c>
      <c r="O183" s="144"/>
      <c r="P183" s="145"/>
    </row>
    <row r="184" spans="1:16" s="110" customFormat="1">
      <c r="A184" s="139">
        <f t="shared" ref="A184:I184" si="84">A78</f>
        <v>69</v>
      </c>
      <c r="B184" s="140">
        <f t="shared" si="84"/>
        <v>0</v>
      </c>
      <c r="C184" s="140">
        <f t="shared" si="84"/>
        <v>0</v>
      </c>
      <c r="D184" s="140">
        <f t="shared" si="84"/>
        <v>0</v>
      </c>
      <c r="E184" s="140">
        <f t="shared" si="84"/>
        <v>0</v>
      </c>
      <c r="F184" s="140">
        <f t="shared" si="84"/>
        <v>0</v>
      </c>
      <c r="G184" s="140">
        <f t="shared" si="84"/>
        <v>0</v>
      </c>
      <c r="H184" s="140">
        <f t="shared" si="84"/>
        <v>0</v>
      </c>
      <c r="I184" s="141">
        <f t="shared" si="84"/>
        <v>0</v>
      </c>
      <c r="J184" s="142">
        <f>J78*(1-'Форма ввода'!$C$72/100)</f>
        <v>0</v>
      </c>
      <c r="K184" s="108">
        <f t="shared" si="79"/>
        <v>0</v>
      </c>
      <c r="L184" s="143">
        <f t="shared" si="77"/>
        <v>0</v>
      </c>
      <c r="M184" s="108">
        <f t="shared" si="80"/>
        <v>0</v>
      </c>
      <c r="N184" s="108">
        <f t="shared" si="81"/>
        <v>0</v>
      </c>
      <c r="O184" s="144"/>
      <c r="P184" s="145"/>
    </row>
    <row r="185" spans="1:16" s="110" customFormat="1">
      <c r="A185" s="139">
        <f t="shared" ref="A185:I185" si="85">A79</f>
        <v>70</v>
      </c>
      <c r="B185" s="140">
        <f t="shared" si="85"/>
        <v>0</v>
      </c>
      <c r="C185" s="140">
        <f t="shared" si="85"/>
        <v>0</v>
      </c>
      <c r="D185" s="140">
        <f t="shared" si="85"/>
        <v>0</v>
      </c>
      <c r="E185" s="140">
        <f t="shared" si="85"/>
        <v>0</v>
      </c>
      <c r="F185" s="140">
        <f t="shared" si="85"/>
        <v>0</v>
      </c>
      <c r="G185" s="140">
        <f t="shared" si="85"/>
        <v>0</v>
      </c>
      <c r="H185" s="140">
        <f t="shared" si="85"/>
        <v>0</v>
      </c>
      <c r="I185" s="141">
        <f t="shared" si="85"/>
        <v>0</v>
      </c>
      <c r="J185" s="142">
        <f>J79*(1-'Форма ввода'!$C$72/100)</f>
        <v>0</v>
      </c>
      <c r="K185" s="108">
        <f t="shared" si="79"/>
        <v>0</v>
      </c>
      <c r="L185" s="143">
        <f t="shared" si="77"/>
        <v>0</v>
      </c>
      <c r="M185" s="108">
        <f t="shared" si="80"/>
        <v>0</v>
      </c>
      <c r="N185" s="108">
        <f t="shared" si="81"/>
        <v>0</v>
      </c>
      <c r="O185" s="144"/>
      <c r="P185" s="145"/>
    </row>
    <row r="186" spans="1:16">
      <c r="A186" s="146"/>
      <c r="B186" s="146"/>
      <c r="C186" s="146"/>
      <c r="D186" s="146"/>
      <c r="E186" s="146"/>
      <c r="F186" s="146"/>
      <c r="G186" s="147"/>
      <c r="H186" s="147"/>
      <c r="I186" s="147"/>
      <c r="J186" s="147"/>
      <c r="K186" s="148"/>
      <c r="L186" s="148"/>
      <c r="M186" s="147"/>
      <c r="N186" s="147"/>
      <c r="O186" s="145"/>
      <c r="P186" s="145"/>
    </row>
    <row r="187" spans="1:16" s="102" customFormat="1" ht="72" customHeight="1">
      <c r="A187" s="135" t="s">
        <v>47</v>
      </c>
      <c r="B187" s="326" t="s">
        <v>48</v>
      </c>
      <c r="C187" s="326"/>
      <c r="D187" s="326"/>
      <c r="E187" s="326"/>
      <c r="F187" s="326"/>
      <c r="G187" s="326"/>
      <c r="H187" s="326"/>
      <c r="I187" s="326"/>
      <c r="J187" s="326"/>
      <c r="K187" s="326"/>
      <c r="L187" s="326"/>
      <c r="M187" s="326"/>
      <c r="N187" s="326"/>
      <c r="O187" s="327"/>
      <c r="P187" s="327"/>
    </row>
    <row r="188" spans="1:16" s="110" customFormat="1" ht="172.5">
      <c r="A188" s="136" t="str">
        <f t="shared" ref="A188:N188" si="86">A9</f>
        <v>№ п/п</v>
      </c>
      <c r="B188" s="136" t="str">
        <f t="shared" si="86"/>
        <v>Наименование Товара Поставщика</v>
      </c>
      <c r="C188" s="136" t="str">
        <f t="shared" si="86"/>
        <v>ГОСТ, ТУ, технические характеристики</v>
      </c>
      <c r="D188" s="136" t="str">
        <f t="shared" si="86"/>
        <v>Наименование Товара для отражения в учетных системах Покупателя</v>
      </c>
      <c r="E188" s="136" t="str">
        <f t="shared" si="86"/>
        <v>Код АСВ НСИ</v>
      </c>
      <c r="F188" s="136" t="str">
        <f t="shared" si="86"/>
        <v>№ техн. поз.</v>
      </c>
      <c r="G188" s="136" t="str">
        <f t="shared" si="86"/>
        <v>Ед. изм.</v>
      </c>
      <c r="H188" s="136" t="str">
        <f t="shared" si="86"/>
        <v>Производитель, Страна происхождения</v>
      </c>
      <c r="I188" s="136" t="str">
        <f t="shared" si="86"/>
        <v>Кол-во</v>
      </c>
      <c r="J188" s="136" t="str">
        <f t="shared" si="86"/>
        <v>Цена за единицу измерения без НДС, (Выпадающий список)</v>
      </c>
      <c r="K188" s="136" t="str">
        <f t="shared" si="86"/>
        <v>Стоимость без учета НДС, (Выпадающий список)</v>
      </c>
      <c r="L188" s="136" t="str">
        <f t="shared" si="86"/>
        <v>Ставка НДС,%</v>
      </c>
      <c r="M188" s="136" t="str">
        <f t="shared" si="86"/>
        <v>Сумма НДС (Выпадающий список)</v>
      </c>
      <c r="N188" s="136" t="str">
        <f t="shared" si="86"/>
        <v>Стоимость с учетом НДС, (Выпадающий список)</v>
      </c>
      <c r="O188" s="137"/>
      <c r="P188" s="138"/>
    </row>
    <row r="189" spans="1:16" s="110" customFormat="1">
      <c r="A189" s="139">
        <f t="shared" ref="A189:I189" si="87">A10</f>
        <v>1</v>
      </c>
      <c r="B189" s="140">
        <f t="shared" si="87"/>
        <v>0</v>
      </c>
      <c r="C189" s="140">
        <f t="shared" si="87"/>
        <v>0</v>
      </c>
      <c r="D189" s="140">
        <f t="shared" si="87"/>
        <v>0</v>
      </c>
      <c r="E189" s="140">
        <f t="shared" si="87"/>
        <v>0</v>
      </c>
      <c r="F189" s="140">
        <f t="shared" si="87"/>
        <v>0</v>
      </c>
      <c r="G189" s="140">
        <f t="shared" si="87"/>
        <v>0</v>
      </c>
      <c r="H189" s="140">
        <f t="shared" si="87"/>
        <v>0</v>
      </c>
      <c r="I189" s="149">
        <f t="shared" si="87"/>
        <v>0</v>
      </c>
      <c r="J189" s="142">
        <f>J10*(1-'Форма ввода'!$C$73/100)</f>
        <v>0</v>
      </c>
      <c r="K189" s="108">
        <f>ROUND(I189*J189,2)</f>
        <v>0</v>
      </c>
      <c r="L189" s="143">
        <f t="shared" ref="L189:L220" si="88">L10</f>
        <v>0</v>
      </c>
      <c r="M189" s="108">
        <f t="shared" ref="M189:M252" si="89">IF(L189="Без НДС",0,ROUND(K189*L189,2))</f>
        <v>0</v>
      </c>
      <c r="N189" s="108">
        <f>M189+K189</f>
        <v>0</v>
      </c>
      <c r="O189" s="144"/>
      <c r="P189" s="145"/>
    </row>
    <row r="190" spans="1:16" s="110" customFormat="1">
      <c r="A190" s="139">
        <f t="shared" ref="A190:I190" si="90">A11</f>
        <v>2</v>
      </c>
      <c r="B190" s="140">
        <f t="shared" si="90"/>
        <v>0</v>
      </c>
      <c r="C190" s="140">
        <f t="shared" si="90"/>
        <v>0</v>
      </c>
      <c r="D190" s="140">
        <f t="shared" si="90"/>
        <v>0</v>
      </c>
      <c r="E190" s="140">
        <f t="shared" si="90"/>
        <v>0</v>
      </c>
      <c r="F190" s="140">
        <f t="shared" si="90"/>
        <v>0</v>
      </c>
      <c r="G190" s="140">
        <f t="shared" si="90"/>
        <v>0</v>
      </c>
      <c r="H190" s="140">
        <f t="shared" si="90"/>
        <v>0</v>
      </c>
      <c r="I190" s="149">
        <f t="shared" si="90"/>
        <v>0</v>
      </c>
      <c r="J190" s="142">
        <f>J11*(1-'Форма ввода'!$C$73/100)</f>
        <v>0</v>
      </c>
      <c r="K190" s="108">
        <f t="shared" ref="K190:K253" si="91">ROUND(I190*J190,2)</f>
        <v>0</v>
      </c>
      <c r="L190" s="143">
        <f t="shared" si="88"/>
        <v>0</v>
      </c>
      <c r="M190" s="108">
        <f t="shared" si="89"/>
        <v>0</v>
      </c>
      <c r="N190" s="108">
        <f t="shared" ref="N190:N253" si="92">M190+K190</f>
        <v>0</v>
      </c>
      <c r="O190" s="144"/>
      <c r="P190" s="145"/>
    </row>
    <row r="191" spans="1:16" s="110" customFormat="1">
      <c r="A191" s="139">
        <f t="shared" ref="A191:I191" si="93">A12</f>
        <v>3</v>
      </c>
      <c r="B191" s="140">
        <f t="shared" si="93"/>
        <v>0</v>
      </c>
      <c r="C191" s="140">
        <f t="shared" si="93"/>
        <v>0</v>
      </c>
      <c r="D191" s="140">
        <f t="shared" si="93"/>
        <v>0</v>
      </c>
      <c r="E191" s="140">
        <f t="shared" si="93"/>
        <v>0</v>
      </c>
      <c r="F191" s="140">
        <f t="shared" si="93"/>
        <v>0</v>
      </c>
      <c r="G191" s="140">
        <f t="shared" si="93"/>
        <v>0</v>
      </c>
      <c r="H191" s="140">
        <f t="shared" si="93"/>
        <v>0</v>
      </c>
      <c r="I191" s="149">
        <f t="shared" si="93"/>
        <v>0</v>
      </c>
      <c r="J191" s="142">
        <f>J12*(1-'Форма ввода'!$C$73/100)</f>
        <v>0</v>
      </c>
      <c r="K191" s="108">
        <f t="shared" si="91"/>
        <v>0</v>
      </c>
      <c r="L191" s="143">
        <f t="shared" si="88"/>
        <v>0</v>
      </c>
      <c r="M191" s="108">
        <f t="shared" si="89"/>
        <v>0</v>
      </c>
      <c r="N191" s="108">
        <f t="shared" si="92"/>
        <v>0</v>
      </c>
      <c r="O191" s="144"/>
      <c r="P191" s="145"/>
    </row>
    <row r="192" spans="1:16" s="110" customFormat="1">
      <c r="A192" s="139">
        <f t="shared" ref="A192:I192" si="94">A13</f>
        <v>4</v>
      </c>
      <c r="B192" s="140">
        <f t="shared" si="94"/>
        <v>0</v>
      </c>
      <c r="C192" s="140">
        <f t="shared" si="94"/>
        <v>0</v>
      </c>
      <c r="D192" s="140">
        <f t="shared" si="94"/>
        <v>0</v>
      </c>
      <c r="E192" s="140">
        <f t="shared" si="94"/>
        <v>0</v>
      </c>
      <c r="F192" s="140">
        <f t="shared" si="94"/>
        <v>0</v>
      </c>
      <c r="G192" s="140">
        <f t="shared" si="94"/>
        <v>0</v>
      </c>
      <c r="H192" s="140">
        <f t="shared" si="94"/>
        <v>0</v>
      </c>
      <c r="I192" s="149">
        <f t="shared" si="94"/>
        <v>0</v>
      </c>
      <c r="J192" s="142">
        <f>J13*(1-'Форма ввода'!$C$73/100)</f>
        <v>0</v>
      </c>
      <c r="K192" s="108">
        <f t="shared" si="91"/>
        <v>0</v>
      </c>
      <c r="L192" s="143">
        <f t="shared" si="88"/>
        <v>0</v>
      </c>
      <c r="M192" s="108">
        <f t="shared" si="89"/>
        <v>0</v>
      </c>
      <c r="N192" s="108">
        <f t="shared" si="92"/>
        <v>0</v>
      </c>
      <c r="O192" s="144"/>
      <c r="P192" s="145"/>
    </row>
    <row r="193" spans="1:16" s="110" customFormat="1">
      <c r="A193" s="139">
        <f t="shared" ref="A193:I193" si="95">A14</f>
        <v>5</v>
      </c>
      <c r="B193" s="140">
        <f t="shared" si="95"/>
        <v>0</v>
      </c>
      <c r="C193" s="140">
        <f t="shared" si="95"/>
        <v>0</v>
      </c>
      <c r="D193" s="140">
        <f t="shared" si="95"/>
        <v>0</v>
      </c>
      <c r="E193" s="140">
        <f t="shared" si="95"/>
        <v>0</v>
      </c>
      <c r="F193" s="140">
        <f t="shared" si="95"/>
        <v>0</v>
      </c>
      <c r="G193" s="140">
        <f t="shared" si="95"/>
        <v>0</v>
      </c>
      <c r="H193" s="140">
        <f t="shared" si="95"/>
        <v>0</v>
      </c>
      <c r="I193" s="149">
        <f t="shared" si="95"/>
        <v>0</v>
      </c>
      <c r="J193" s="142">
        <f>J14*(1-'Форма ввода'!$C$73/100)</f>
        <v>0</v>
      </c>
      <c r="K193" s="108">
        <f t="shared" si="91"/>
        <v>0</v>
      </c>
      <c r="L193" s="143">
        <f t="shared" si="88"/>
        <v>0</v>
      </c>
      <c r="M193" s="108">
        <f t="shared" si="89"/>
        <v>0</v>
      </c>
      <c r="N193" s="108">
        <f t="shared" si="92"/>
        <v>0</v>
      </c>
      <c r="O193" s="144"/>
      <c r="P193" s="145"/>
    </row>
    <row r="194" spans="1:16" s="110" customFormat="1">
      <c r="A194" s="139">
        <f t="shared" ref="A194:I194" si="96">A15</f>
        <v>6</v>
      </c>
      <c r="B194" s="140">
        <f t="shared" si="96"/>
        <v>0</v>
      </c>
      <c r="C194" s="140">
        <f t="shared" si="96"/>
        <v>0</v>
      </c>
      <c r="D194" s="140">
        <f t="shared" si="96"/>
        <v>0</v>
      </c>
      <c r="E194" s="140">
        <f t="shared" si="96"/>
        <v>0</v>
      </c>
      <c r="F194" s="140">
        <f t="shared" si="96"/>
        <v>0</v>
      </c>
      <c r="G194" s="140">
        <f t="shared" si="96"/>
        <v>0</v>
      </c>
      <c r="H194" s="140">
        <f t="shared" si="96"/>
        <v>0</v>
      </c>
      <c r="I194" s="149">
        <f t="shared" si="96"/>
        <v>0</v>
      </c>
      <c r="J194" s="142">
        <f>J15*(1-'Форма ввода'!$C$73/100)</f>
        <v>0</v>
      </c>
      <c r="K194" s="108">
        <f t="shared" si="91"/>
        <v>0</v>
      </c>
      <c r="L194" s="143">
        <f t="shared" si="88"/>
        <v>0</v>
      </c>
      <c r="M194" s="108">
        <f t="shared" si="89"/>
        <v>0</v>
      </c>
      <c r="N194" s="108">
        <f t="shared" si="92"/>
        <v>0</v>
      </c>
      <c r="O194" s="144"/>
      <c r="P194" s="145"/>
    </row>
    <row r="195" spans="1:16" s="110" customFormat="1">
      <c r="A195" s="139">
        <f t="shared" ref="A195:I195" si="97">A16</f>
        <v>7</v>
      </c>
      <c r="B195" s="140">
        <f t="shared" si="97"/>
        <v>0</v>
      </c>
      <c r="C195" s="140">
        <f t="shared" si="97"/>
        <v>0</v>
      </c>
      <c r="D195" s="140">
        <f t="shared" si="97"/>
        <v>0</v>
      </c>
      <c r="E195" s="140">
        <f t="shared" si="97"/>
        <v>0</v>
      </c>
      <c r="F195" s="140">
        <f t="shared" si="97"/>
        <v>0</v>
      </c>
      <c r="G195" s="140">
        <f t="shared" si="97"/>
        <v>0</v>
      </c>
      <c r="H195" s="140">
        <f t="shared" si="97"/>
        <v>0</v>
      </c>
      <c r="I195" s="149">
        <f t="shared" si="97"/>
        <v>0</v>
      </c>
      <c r="J195" s="142">
        <f>J16*(1-'Форма ввода'!$C$73/100)</f>
        <v>0</v>
      </c>
      <c r="K195" s="108">
        <f t="shared" si="91"/>
        <v>0</v>
      </c>
      <c r="L195" s="143">
        <f t="shared" si="88"/>
        <v>0</v>
      </c>
      <c r="M195" s="108">
        <f t="shared" si="89"/>
        <v>0</v>
      </c>
      <c r="N195" s="108">
        <f t="shared" si="92"/>
        <v>0</v>
      </c>
      <c r="O195" s="144"/>
      <c r="P195" s="145"/>
    </row>
    <row r="196" spans="1:16" s="110" customFormat="1">
      <c r="A196" s="139">
        <f t="shared" ref="A196:I196" si="98">A17</f>
        <v>8</v>
      </c>
      <c r="B196" s="140">
        <f t="shared" si="98"/>
        <v>0</v>
      </c>
      <c r="C196" s="140">
        <f t="shared" si="98"/>
        <v>0</v>
      </c>
      <c r="D196" s="140">
        <f t="shared" si="98"/>
        <v>0</v>
      </c>
      <c r="E196" s="140">
        <f t="shared" si="98"/>
        <v>0</v>
      </c>
      <c r="F196" s="140">
        <f t="shared" si="98"/>
        <v>0</v>
      </c>
      <c r="G196" s="140">
        <f t="shared" si="98"/>
        <v>0</v>
      </c>
      <c r="H196" s="140">
        <f t="shared" si="98"/>
        <v>0</v>
      </c>
      <c r="I196" s="149">
        <f t="shared" si="98"/>
        <v>0</v>
      </c>
      <c r="J196" s="142">
        <f>J17*(1-'Форма ввода'!$C$73/100)</f>
        <v>0</v>
      </c>
      <c r="K196" s="108">
        <f t="shared" si="91"/>
        <v>0</v>
      </c>
      <c r="L196" s="143">
        <f t="shared" si="88"/>
        <v>0</v>
      </c>
      <c r="M196" s="108">
        <f t="shared" si="89"/>
        <v>0</v>
      </c>
      <c r="N196" s="108">
        <f t="shared" si="92"/>
        <v>0</v>
      </c>
      <c r="O196" s="144"/>
      <c r="P196" s="145"/>
    </row>
    <row r="197" spans="1:16" s="110" customFormat="1">
      <c r="A197" s="139">
        <f t="shared" ref="A197:I197" si="99">A18</f>
        <v>9</v>
      </c>
      <c r="B197" s="140">
        <f t="shared" si="99"/>
        <v>0</v>
      </c>
      <c r="C197" s="140">
        <f t="shared" si="99"/>
        <v>0</v>
      </c>
      <c r="D197" s="140">
        <f t="shared" si="99"/>
        <v>0</v>
      </c>
      <c r="E197" s="140">
        <f t="shared" si="99"/>
        <v>0</v>
      </c>
      <c r="F197" s="140">
        <f t="shared" si="99"/>
        <v>0</v>
      </c>
      <c r="G197" s="140">
        <f t="shared" si="99"/>
        <v>0</v>
      </c>
      <c r="H197" s="140">
        <f t="shared" si="99"/>
        <v>0</v>
      </c>
      <c r="I197" s="149">
        <f t="shared" si="99"/>
        <v>0</v>
      </c>
      <c r="J197" s="142">
        <f>J18*(1-'Форма ввода'!$C$73/100)</f>
        <v>0</v>
      </c>
      <c r="K197" s="108">
        <f t="shared" si="91"/>
        <v>0</v>
      </c>
      <c r="L197" s="143">
        <f t="shared" si="88"/>
        <v>0</v>
      </c>
      <c r="M197" s="108">
        <f t="shared" si="89"/>
        <v>0</v>
      </c>
      <c r="N197" s="108">
        <f t="shared" si="92"/>
        <v>0</v>
      </c>
      <c r="O197" s="144"/>
      <c r="P197" s="145"/>
    </row>
    <row r="198" spans="1:16" s="110" customFormat="1">
      <c r="A198" s="139">
        <f t="shared" ref="A198:I198" si="100">A19</f>
        <v>10</v>
      </c>
      <c r="B198" s="140">
        <f t="shared" si="100"/>
        <v>0</v>
      </c>
      <c r="C198" s="140">
        <f t="shared" si="100"/>
        <v>0</v>
      </c>
      <c r="D198" s="140">
        <f t="shared" si="100"/>
        <v>0</v>
      </c>
      <c r="E198" s="140">
        <f t="shared" si="100"/>
        <v>0</v>
      </c>
      <c r="F198" s="140">
        <f t="shared" si="100"/>
        <v>0</v>
      </c>
      <c r="G198" s="140">
        <f t="shared" si="100"/>
        <v>0</v>
      </c>
      <c r="H198" s="140">
        <f t="shared" si="100"/>
        <v>0</v>
      </c>
      <c r="I198" s="149">
        <f t="shared" si="100"/>
        <v>0</v>
      </c>
      <c r="J198" s="142">
        <f>J19*(1-'Форма ввода'!$C$73/100)</f>
        <v>0</v>
      </c>
      <c r="K198" s="108">
        <f t="shared" si="91"/>
        <v>0</v>
      </c>
      <c r="L198" s="143">
        <f t="shared" si="88"/>
        <v>0</v>
      </c>
      <c r="M198" s="108">
        <f t="shared" si="89"/>
        <v>0</v>
      </c>
      <c r="N198" s="108">
        <f t="shared" si="92"/>
        <v>0</v>
      </c>
      <c r="O198" s="144"/>
      <c r="P198" s="145"/>
    </row>
    <row r="199" spans="1:16" s="110" customFormat="1">
      <c r="A199" s="139">
        <f t="shared" ref="A199:I199" si="101">A20</f>
        <v>11</v>
      </c>
      <c r="B199" s="140">
        <f t="shared" si="101"/>
        <v>0</v>
      </c>
      <c r="C199" s="140">
        <f t="shared" si="101"/>
        <v>0</v>
      </c>
      <c r="D199" s="140">
        <f t="shared" si="101"/>
        <v>0</v>
      </c>
      <c r="E199" s="140">
        <f t="shared" si="101"/>
        <v>0</v>
      </c>
      <c r="F199" s="140">
        <f t="shared" si="101"/>
        <v>0</v>
      </c>
      <c r="G199" s="140">
        <f t="shared" si="101"/>
        <v>0</v>
      </c>
      <c r="H199" s="140">
        <f t="shared" si="101"/>
        <v>0</v>
      </c>
      <c r="I199" s="149">
        <f t="shared" si="101"/>
        <v>0</v>
      </c>
      <c r="J199" s="142">
        <f>J20*(1-'Форма ввода'!$C$73/100)</f>
        <v>0</v>
      </c>
      <c r="K199" s="108">
        <f t="shared" si="91"/>
        <v>0</v>
      </c>
      <c r="L199" s="143">
        <f t="shared" si="88"/>
        <v>0</v>
      </c>
      <c r="M199" s="108">
        <f t="shared" si="89"/>
        <v>0</v>
      </c>
      <c r="N199" s="108">
        <f t="shared" si="92"/>
        <v>0</v>
      </c>
      <c r="O199" s="144"/>
      <c r="P199" s="145"/>
    </row>
    <row r="200" spans="1:16" s="110" customFormat="1">
      <c r="A200" s="139">
        <f t="shared" ref="A200:I200" si="102">A21</f>
        <v>12</v>
      </c>
      <c r="B200" s="140">
        <f t="shared" si="102"/>
        <v>0</v>
      </c>
      <c r="C200" s="140">
        <f t="shared" si="102"/>
        <v>0</v>
      </c>
      <c r="D200" s="140">
        <f t="shared" si="102"/>
        <v>0</v>
      </c>
      <c r="E200" s="140">
        <f t="shared" si="102"/>
        <v>0</v>
      </c>
      <c r="F200" s="140">
        <f t="shared" si="102"/>
        <v>0</v>
      </c>
      <c r="G200" s="140">
        <f t="shared" si="102"/>
        <v>0</v>
      </c>
      <c r="H200" s="140">
        <f t="shared" si="102"/>
        <v>0</v>
      </c>
      <c r="I200" s="149">
        <f t="shared" si="102"/>
        <v>0</v>
      </c>
      <c r="J200" s="142">
        <f>J21*(1-'Форма ввода'!$C$73/100)</f>
        <v>0</v>
      </c>
      <c r="K200" s="108">
        <f t="shared" si="91"/>
        <v>0</v>
      </c>
      <c r="L200" s="143">
        <f t="shared" si="88"/>
        <v>0</v>
      </c>
      <c r="M200" s="108">
        <f t="shared" si="89"/>
        <v>0</v>
      </c>
      <c r="N200" s="108">
        <f t="shared" si="92"/>
        <v>0</v>
      </c>
      <c r="O200" s="144"/>
      <c r="P200" s="145"/>
    </row>
    <row r="201" spans="1:16" s="110" customFormat="1">
      <c r="A201" s="139">
        <f t="shared" ref="A201:I201" si="103">A22</f>
        <v>13</v>
      </c>
      <c r="B201" s="140">
        <f t="shared" si="103"/>
        <v>0</v>
      </c>
      <c r="C201" s="140">
        <f t="shared" si="103"/>
        <v>0</v>
      </c>
      <c r="D201" s="140">
        <f t="shared" si="103"/>
        <v>0</v>
      </c>
      <c r="E201" s="140">
        <f t="shared" si="103"/>
        <v>0</v>
      </c>
      <c r="F201" s="140">
        <f t="shared" si="103"/>
        <v>0</v>
      </c>
      <c r="G201" s="140">
        <f t="shared" si="103"/>
        <v>0</v>
      </c>
      <c r="H201" s="140">
        <f t="shared" si="103"/>
        <v>0</v>
      </c>
      <c r="I201" s="149">
        <f t="shared" si="103"/>
        <v>0</v>
      </c>
      <c r="J201" s="142">
        <f>J22*(1-'Форма ввода'!$C$73/100)</f>
        <v>0</v>
      </c>
      <c r="K201" s="108">
        <f t="shared" si="91"/>
        <v>0</v>
      </c>
      <c r="L201" s="143">
        <f t="shared" si="88"/>
        <v>0</v>
      </c>
      <c r="M201" s="108">
        <f t="shared" si="89"/>
        <v>0</v>
      </c>
      <c r="N201" s="108">
        <f t="shared" si="92"/>
        <v>0</v>
      </c>
      <c r="O201" s="144"/>
      <c r="P201" s="145"/>
    </row>
    <row r="202" spans="1:16" s="110" customFormat="1">
      <c r="A202" s="139">
        <f t="shared" ref="A202:I202" si="104">A23</f>
        <v>14</v>
      </c>
      <c r="B202" s="140">
        <f t="shared" si="104"/>
        <v>0</v>
      </c>
      <c r="C202" s="140">
        <f t="shared" si="104"/>
        <v>0</v>
      </c>
      <c r="D202" s="140">
        <f t="shared" si="104"/>
        <v>0</v>
      </c>
      <c r="E202" s="140">
        <f t="shared" si="104"/>
        <v>0</v>
      </c>
      <c r="F202" s="140">
        <f t="shared" si="104"/>
        <v>0</v>
      </c>
      <c r="G202" s="140">
        <f t="shared" si="104"/>
        <v>0</v>
      </c>
      <c r="H202" s="140">
        <f t="shared" si="104"/>
        <v>0</v>
      </c>
      <c r="I202" s="149">
        <f t="shared" si="104"/>
        <v>0</v>
      </c>
      <c r="J202" s="142">
        <f>J23*(1-'Форма ввода'!$C$73/100)</f>
        <v>0</v>
      </c>
      <c r="K202" s="108">
        <f t="shared" si="91"/>
        <v>0</v>
      </c>
      <c r="L202" s="143">
        <f t="shared" si="88"/>
        <v>0</v>
      </c>
      <c r="M202" s="108">
        <f t="shared" si="89"/>
        <v>0</v>
      </c>
      <c r="N202" s="108">
        <f t="shared" si="92"/>
        <v>0</v>
      </c>
      <c r="O202" s="144"/>
      <c r="P202" s="145"/>
    </row>
    <row r="203" spans="1:16" s="110" customFormat="1">
      <c r="A203" s="139">
        <f t="shared" ref="A203:I203" si="105">A24</f>
        <v>15</v>
      </c>
      <c r="B203" s="140">
        <f t="shared" si="105"/>
        <v>0</v>
      </c>
      <c r="C203" s="140">
        <f t="shared" si="105"/>
        <v>0</v>
      </c>
      <c r="D203" s="140">
        <f t="shared" si="105"/>
        <v>0</v>
      </c>
      <c r="E203" s="140">
        <f t="shared" si="105"/>
        <v>0</v>
      </c>
      <c r="F203" s="140">
        <f t="shared" si="105"/>
        <v>0</v>
      </c>
      <c r="G203" s="140">
        <f t="shared" si="105"/>
        <v>0</v>
      </c>
      <c r="H203" s="140">
        <f t="shared" si="105"/>
        <v>0</v>
      </c>
      <c r="I203" s="149">
        <f t="shared" si="105"/>
        <v>0</v>
      </c>
      <c r="J203" s="142">
        <f>J24*(1-'Форма ввода'!$C$73/100)</f>
        <v>0</v>
      </c>
      <c r="K203" s="108">
        <f t="shared" si="91"/>
        <v>0</v>
      </c>
      <c r="L203" s="143">
        <f t="shared" si="88"/>
        <v>0</v>
      </c>
      <c r="M203" s="108">
        <f t="shared" si="89"/>
        <v>0</v>
      </c>
      <c r="N203" s="108">
        <f t="shared" si="92"/>
        <v>0</v>
      </c>
      <c r="O203" s="144"/>
      <c r="P203" s="145"/>
    </row>
    <row r="204" spans="1:16" s="110" customFormat="1">
      <c r="A204" s="139">
        <f t="shared" ref="A204:I204" si="106">A25</f>
        <v>16</v>
      </c>
      <c r="B204" s="140">
        <f t="shared" si="106"/>
        <v>0</v>
      </c>
      <c r="C204" s="140">
        <f t="shared" si="106"/>
        <v>0</v>
      </c>
      <c r="D204" s="140">
        <f t="shared" si="106"/>
        <v>0</v>
      </c>
      <c r="E204" s="140">
        <f t="shared" si="106"/>
        <v>0</v>
      </c>
      <c r="F204" s="140">
        <f t="shared" si="106"/>
        <v>0</v>
      </c>
      <c r="G204" s="140">
        <f t="shared" si="106"/>
        <v>0</v>
      </c>
      <c r="H204" s="140">
        <f t="shared" si="106"/>
        <v>0</v>
      </c>
      <c r="I204" s="149">
        <f t="shared" si="106"/>
        <v>0</v>
      </c>
      <c r="J204" s="142">
        <f>J25*(1-'Форма ввода'!$C$73/100)</f>
        <v>0</v>
      </c>
      <c r="K204" s="108">
        <f t="shared" si="91"/>
        <v>0</v>
      </c>
      <c r="L204" s="143">
        <f t="shared" si="88"/>
        <v>0</v>
      </c>
      <c r="M204" s="108">
        <f t="shared" si="89"/>
        <v>0</v>
      </c>
      <c r="N204" s="108">
        <f t="shared" si="92"/>
        <v>0</v>
      </c>
      <c r="O204" s="144"/>
      <c r="P204" s="145"/>
    </row>
    <row r="205" spans="1:16" s="110" customFormat="1">
      <c r="A205" s="139">
        <f t="shared" ref="A205:I205" si="107">A26</f>
        <v>17</v>
      </c>
      <c r="B205" s="140">
        <f t="shared" si="107"/>
        <v>0</v>
      </c>
      <c r="C205" s="140">
        <f t="shared" si="107"/>
        <v>0</v>
      </c>
      <c r="D205" s="140">
        <f t="shared" si="107"/>
        <v>0</v>
      </c>
      <c r="E205" s="140">
        <f t="shared" si="107"/>
        <v>0</v>
      </c>
      <c r="F205" s="140">
        <f t="shared" si="107"/>
        <v>0</v>
      </c>
      <c r="G205" s="140">
        <f t="shared" si="107"/>
        <v>0</v>
      </c>
      <c r="H205" s="140">
        <f t="shared" si="107"/>
        <v>0</v>
      </c>
      <c r="I205" s="149">
        <f t="shared" si="107"/>
        <v>0</v>
      </c>
      <c r="J205" s="142">
        <f>J26*(1-'Форма ввода'!$C$73/100)</f>
        <v>0</v>
      </c>
      <c r="K205" s="108">
        <f t="shared" si="91"/>
        <v>0</v>
      </c>
      <c r="L205" s="143">
        <f t="shared" si="88"/>
        <v>0</v>
      </c>
      <c r="M205" s="108">
        <f t="shared" si="89"/>
        <v>0</v>
      </c>
      <c r="N205" s="108">
        <f t="shared" si="92"/>
        <v>0</v>
      </c>
      <c r="O205" s="144"/>
      <c r="P205" s="145"/>
    </row>
    <row r="206" spans="1:16" s="110" customFormat="1">
      <c r="A206" s="139">
        <f t="shared" ref="A206:I206" si="108">A27</f>
        <v>18</v>
      </c>
      <c r="B206" s="140">
        <f t="shared" si="108"/>
        <v>0</v>
      </c>
      <c r="C206" s="140">
        <f t="shared" si="108"/>
        <v>0</v>
      </c>
      <c r="D206" s="140">
        <f t="shared" si="108"/>
        <v>0</v>
      </c>
      <c r="E206" s="140">
        <f t="shared" si="108"/>
        <v>0</v>
      </c>
      <c r="F206" s="140">
        <f t="shared" si="108"/>
        <v>0</v>
      </c>
      <c r="G206" s="140">
        <f t="shared" si="108"/>
        <v>0</v>
      </c>
      <c r="H206" s="140">
        <f t="shared" si="108"/>
        <v>0</v>
      </c>
      <c r="I206" s="149">
        <f t="shared" si="108"/>
        <v>0</v>
      </c>
      <c r="J206" s="142">
        <f>J27*(1-'Форма ввода'!$C$73/100)</f>
        <v>0</v>
      </c>
      <c r="K206" s="108">
        <f t="shared" si="91"/>
        <v>0</v>
      </c>
      <c r="L206" s="143">
        <f t="shared" si="88"/>
        <v>0</v>
      </c>
      <c r="M206" s="108">
        <f t="shared" si="89"/>
        <v>0</v>
      </c>
      <c r="N206" s="108">
        <f t="shared" si="92"/>
        <v>0</v>
      </c>
      <c r="O206" s="144"/>
      <c r="P206" s="145"/>
    </row>
    <row r="207" spans="1:16" s="110" customFormat="1">
      <c r="A207" s="139">
        <f t="shared" ref="A207:I207" si="109">A28</f>
        <v>19</v>
      </c>
      <c r="B207" s="140">
        <f t="shared" si="109"/>
        <v>0</v>
      </c>
      <c r="C207" s="140">
        <f t="shared" si="109"/>
        <v>0</v>
      </c>
      <c r="D207" s="140">
        <f t="shared" si="109"/>
        <v>0</v>
      </c>
      <c r="E207" s="140">
        <f t="shared" si="109"/>
        <v>0</v>
      </c>
      <c r="F207" s="140">
        <f t="shared" si="109"/>
        <v>0</v>
      </c>
      <c r="G207" s="140">
        <f t="shared" si="109"/>
        <v>0</v>
      </c>
      <c r="H207" s="140">
        <f t="shared" si="109"/>
        <v>0</v>
      </c>
      <c r="I207" s="149">
        <f t="shared" si="109"/>
        <v>0</v>
      </c>
      <c r="J207" s="142">
        <f>J28*(1-'Форма ввода'!$C$73/100)</f>
        <v>0</v>
      </c>
      <c r="K207" s="108">
        <f t="shared" si="91"/>
        <v>0</v>
      </c>
      <c r="L207" s="143">
        <f t="shared" si="88"/>
        <v>0</v>
      </c>
      <c r="M207" s="108">
        <f t="shared" si="89"/>
        <v>0</v>
      </c>
      <c r="N207" s="108">
        <f t="shared" si="92"/>
        <v>0</v>
      </c>
      <c r="O207" s="144"/>
      <c r="P207" s="145"/>
    </row>
    <row r="208" spans="1:16" s="110" customFormat="1">
      <c r="A208" s="139">
        <f t="shared" ref="A208:I208" si="110">A29</f>
        <v>20</v>
      </c>
      <c r="B208" s="140">
        <f t="shared" si="110"/>
        <v>0</v>
      </c>
      <c r="C208" s="140">
        <f t="shared" si="110"/>
        <v>0</v>
      </c>
      <c r="D208" s="140">
        <f t="shared" si="110"/>
        <v>0</v>
      </c>
      <c r="E208" s="140">
        <f t="shared" si="110"/>
        <v>0</v>
      </c>
      <c r="F208" s="140">
        <f t="shared" si="110"/>
        <v>0</v>
      </c>
      <c r="G208" s="140">
        <f t="shared" si="110"/>
        <v>0</v>
      </c>
      <c r="H208" s="140">
        <f t="shared" si="110"/>
        <v>0</v>
      </c>
      <c r="I208" s="149">
        <f t="shared" si="110"/>
        <v>0</v>
      </c>
      <c r="J208" s="142">
        <f>J29*(1-'Форма ввода'!$C$73/100)</f>
        <v>0</v>
      </c>
      <c r="K208" s="108">
        <f t="shared" si="91"/>
        <v>0</v>
      </c>
      <c r="L208" s="143">
        <f t="shared" si="88"/>
        <v>0</v>
      </c>
      <c r="M208" s="108">
        <f t="shared" si="89"/>
        <v>0</v>
      </c>
      <c r="N208" s="108">
        <f t="shared" si="92"/>
        <v>0</v>
      </c>
      <c r="O208" s="144"/>
      <c r="P208" s="145"/>
    </row>
    <row r="209" spans="1:16" s="110" customFormat="1">
      <c r="A209" s="139">
        <f t="shared" ref="A209:I209" si="111">A30</f>
        <v>21</v>
      </c>
      <c r="B209" s="140">
        <f t="shared" si="111"/>
        <v>0</v>
      </c>
      <c r="C209" s="140">
        <f t="shared" si="111"/>
        <v>0</v>
      </c>
      <c r="D209" s="140">
        <f t="shared" si="111"/>
        <v>0</v>
      </c>
      <c r="E209" s="140">
        <f t="shared" si="111"/>
        <v>0</v>
      </c>
      <c r="F209" s="140">
        <f t="shared" si="111"/>
        <v>0</v>
      </c>
      <c r="G209" s="140">
        <f t="shared" si="111"/>
        <v>0</v>
      </c>
      <c r="H209" s="140">
        <f t="shared" si="111"/>
        <v>0</v>
      </c>
      <c r="I209" s="149">
        <f t="shared" si="111"/>
        <v>0</v>
      </c>
      <c r="J209" s="142">
        <f>J30*(1-'Форма ввода'!$C$73/100)</f>
        <v>0</v>
      </c>
      <c r="K209" s="108">
        <f t="shared" si="91"/>
        <v>0</v>
      </c>
      <c r="L209" s="143">
        <f t="shared" si="88"/>
        <v>0</v>
      </c>
      <c r="M209" s="108">
        <f t="shared" si="89"/>
        <v>0</v>
      </c>
      <c r="N209" s="108">
        <f t="shared" si="92"/>
        <v>0</v>
      </c>
      <c r="O209" s="144"/>
      <c r="P209" s="145"/>
    </row>
    <row r="210" spans="1:16" s="110" customFormat="1">
      <c r="A210" s="139">
        <f t="shared" ref="A210:I210" si="112">A31</f>
        <v>22</v>
      </c>
      <c r="B210" s="140">
        <f t="shared" si="112"/>
        <v>0</v>
      </c>
      <c r="C210" s="140">
        <f t="shared" si="112"/>
        <v>0</v>
      </c>
      <c r="D210" s="140">
        <f t="shared" si="112"/>
        <v>0</v>
      </c>
      <c r="E210" s="140">
        <f t="shared" si="112"/>
        <v>0</v>
      </c>
      <c r="F210" s="140">
        <f t="shared" si="112"/>
        <v>0</v>
      </c>
      <c r="G210" s="140">
        <f t="shared" si="112"/>
        <v>0</v>
      </c>
      <c r="H210" s="140">
        <f t="shared" si="112"/>
        <v>0</v>
      </c>
      <c r="I210" s="149">
        <f t="shared" si="112"/>
        <v>0</v>
      </c>
      <c r="J210" s="142">
        <f>J31*(1-'Форма ввода'!$C$73/100)</f>
        <v>0</v>
      </c>
      <c r="K210" s="108">
        <f t="shared" si="91"/>
        <v>0</v>
      </c>
      <c r="L210" s="143">
        <f t="shared" si="88"/>
        <v>0</v>
      </c>
      <c r="M210" s="108">
        <f t="shared" si="89"/>
        <v>0</v>
      </c>
      <c r="N210" s="108">
        <f t="shared" si="92"/>
        <v>0</v>
      </c>
      <c r="O210" s="144"/>
      <c r="P210" s="145"/>
    </row>
    <row r="211" spans="1:16" s="110" customFormat="1">
      <c r="A211" s="139">
        <f t="shared" ref="A211:I211" si="113">A32</f>
        <v>23</v>
      </c>
      <c r="B211" s="140">
        <f t="shared" si="113"/>
        <v>0</v>
      </c>
      <c r="C211" s="140">
        <f t="shared" si="113"/>
        <v>0</v>
      </c>
      <c r="D211" s="140">
        <f t="shared" si="113"/>
        <v>0</v>
      </c>
      <c r="E211" s="140">
        <f t="shared" si="113"/>
        <v>0</v>
      </c>
      <c r="F211" s="140">
        <f t="shared" si="113"/>
        <v>0</v>
      </c>
      <c r="G211" s="140">
        <f t="shared" si="113"/>
        <v>0</v>
      </c>
      <c r="H211" s="140">
        <f t="shared" si="113"/>
        <v>0</v>
      </c>
      <c r="I211" s="149">
        <f t="shared" si="113"/>
        <v>0</v>
      </c>
      <c r="J211" s="142">
        <f>J32*(1-'Форма ввода'!$C$73/100)</f>
        <v>0</v>
      </c>
      <c r="K211" s="108">
        <f t="shared" si="91"/>
        <v>0</v>
      </c>
      <c r="L211" s="143">
        <f t="shared" si="88"/>
        <v>0</v>
      </c>
      <c r="M211" s="108">
        <f t="shared" si="89"/>
        <v>0</v>
      </c>
      <c r="N211" s="108">
        <f t="shared" si="92"/>
        <v>0</v>
      </c>
      <c r="O211" s="144"/>
      <c r="P211" s="145"/>
    </row>
    <row r="212" spans="1:16" s="110" customFormat="1">
      <c r="A212" s="139">
        <f t="shared" ref="A212:I212" si="114">A33</f>
        <v>24</v>
      </c>
      <c r="B212" s="140">
        <f t="shared" si="114"/>
        <v>0</v>
      </c>
      <c r="C212" s="140">
        <f t="shared" si="114"/>
        <v>0</v>
      </c>
      <c r="D212" s="140">
        <f t="shared" si="114"/>
        <v>0</v>
      </c>
      <c r="E212" s="140">
        <f t="shared" si="114"/>
        <v>0</v>
      </c>
      <c r="F212" s="140">
        <f t="shared" si="114"/>
        <v>0</v>
      </c>
      <c r="G212" s="140">
        <f t="shared" si="114"/>
        <v>0</v>
      </c>
      <c r="H212" s="140">
        <f t="shared" si="114"/>
        <v>0</v>
      </c>
      <c r="I212" s="149">
        <f t="shared" si="114"/>
        <v>0</v>
      </c>
      <c r="J212" s="142">
        <f>J33*(1-'Форма ввода'!$C$73/100)</f>
        <v>0</v>
      </c>
      <c r="K212" s="108">
        <f t="shared" si="91"/>
        <v>0</v>
      </c>
      <c r="L212" s="143">
        <f t="shared" si="88"/>
        <v>0</v>
      </c>
      <c r="M212" s="108">
        <f t="shared" si="89"/>
        <v>0</v>
      </c>
      <c r="N212" s="108">
        <f t="shared" si="92"/>
        <v>0</v>
      </c>
      <c r="O212" s="144"/>
      <c r="P212" s="145"/>
    </row>
    <row r="213" spans="1:16" s="110" customFormat="1">
      <c r="A213" s="139">
        <f t="shared" ref="A213:I213" si="115">A34</f>
        <v>25</v>
      </c>
      <c r="B213" s="140">
        <f t="shared" si="115"/>
        <v>0</v>
      </c>
      <c r="C213" s="140">
        <f t="shared" si="115"/>
        <v>0</v>
      </c>
      <c r="D213" s="140">
        <f t="shared" si="115"/>
        <v>0</v>
      </c>
      <c r="E213" s="140">
        <f t="shared" si="115"/>
        <v>0</v>
      </c>
      <c r="F213" s="140">
        <f t="shared" si="115"/>
        <v>0</v>
      </c>
      <c r="G213" s="140">
        <f t="shared" si="115"/>
        <v>0</v>
      </c>
      <c r="H213" s="140">
        <f t="shared" si="115"/>
        <v>0</v>
      </c>
      <c r="I213" s="149">
        <f t="shared" si="115"/>
        <v>0</v>
      </c>
      <c r="J213" s="142">
        <f>J34*(1-'Форма ввода'!$C$73/100)</f>
        <v>0</v>
      </c>
      <c r="K213" s="108">
        <f t="shared" si="91"/>
        <v>0</v>
      </c>
      <c r="L213" s="143">
        <f t="shared" si="88"/>
        <v>0</v>
      </c>
      <c r="M213" s="108">
        <f t="shared" si="89"/>
        <v>0</v>
      </c>
      <c r="N213" s="108">
        <f t="shared" si="92"/>
        <v>0</v>
      </c>
      <c r="O213" s="144"/>
      <c r="P213" s="145"/>
    </row>
    <row r="214" spans="1:16" s="110" customFormat="1">
      <c r="A214" s="139">
        <f t="shared" ref="A214:I214" si="116">A35</f>
        <v>26</v>
      </c>
      <c r="B214" s="140">
        <f t="shared" si="116"/>
        <v>0</v>
      </c>
      <c r="C214" s="140">
        <f t="shared" si="116"/>
        <v>0</v>
      </c>
      <c r="D214" s="140">
        <f t="shared" si="116"/>
        <v>0</v>
      </c>
      <c r="E214" s="140">
        <f t="shared" si="116"/>
        <v>0</v>
      </c>
      <c r="F214" s="140">
        <f t="shared" si="116"/>
        <v>0</v>
      </c>
      <c r="G214" s="140">
        <f t="shared" si="116"/>
        <v>0</v>
      </c>
      <c r="H214" s="140">
        <f t="shared" si="116"/>
        <v>0</v>
      </c>
      <c r="I214" s="149">
        <f t="shared" si="116"/>
        <v>0</v>
      </c>
      <c r="J214" s="142">
        <f>J35*(1-'Форма ввода'!$C$73/100)</f>
        <v>0</v>
      </c>
      <c r="K214" s="108">
        <f t="shared" si="91"/>
        <v>0</v>
      </c>
      <c r="L214" s="143">
        <f t="shared" si="88"/>
        <v>0</v>
      </c>
      <c r="M214" s="108">
        <f t="shared" si="89"/>
        <v>0</v>
      </c>
      <c r="N214" s="108">
        <f t="shared" si="92"/>
        <v>0</v>
      </c>
      <c r="O214" s="144"/>
      <c r="P214" s="145"/>
    </row>
    <row r="215" spans="1:16" s="110" customFormat="1">
      <c r="A215" s="139">
        <f t="shared" ref="A215:I215" si="117">A36</f>
        <v>27</v>
      </c>
      <c r="B215" s="140">
        <f t="shared" si="117"/>
        <v>0</v>
      </c>
      <c r="C215" s="140">
        <f t="shared" si="117"/>
        <v>0</v>
      </c>
      <c r="D215" s="140">
        <f t="shared" si="117"/>
        <v>0</v>
      </c>
      <c r="E215" s="140">
        <f t="shared" si="117"/>
        <v>0</v>
      </c>
      <c r="F215" s="140">
        <f t="shared" si="117"/>
        <v>0</v>
      </c>
      <c r="G215" s="140">
        <f t="shared" si="117"/>
        <v>0</v>
      </c>
      <c r="H215" s="140">
        <f t="shared" si="117"/>
        <v>0</v>
      </c>
      <c r="I215" s="149">
        <f t="shared" si="117"/>
        <v>0</v>
      </c>
      <c r="J215" s="142">
        <f>J36*(1-'Форма ввода'!$C$73/100)</f>
        <v>0</v>
      </c>
      <c r="K215" s="108">
        <f t="shared" si="91"/>
        <v>0</v>
      </c>
      <c r="L215" s="143">
        <f t="shared" si="88"/>
        <v>0</v>
      </c>
      <c r="M215" s="108">
        <f t="shared" si="89"/>
        <v>0</v>
      </c>
      <c r="N215" s="108">
        <f t="shared" si="92"/>
        <v>0</v>
      </c>
      <c r="O215" s="144"/>
      <c r="P215" s="145"/>
    </row>
    <row r="216" spans="1:16" s="110" customFormat="1">
      <c r="A216" s="139">
        <f t="shared" ref="A216:I216" si="118">A37</f>
        <v>28</v>
      </c>
      <c r="B216" s="140">
        <f t="shared" si="118"/>
        <v>0</v>
      </c>
      <c r="C216" s="140">
        <f t="shared" si="118"/>
        <v>0</v>
      </c>
      <c r="D216" s="140">
        <f t="shared" si="118"/>
        <v>0</v>
      </c>
      <c r="E216" s="140">
        <f t="shared" si="118"/>
        <v>0</v>
      </c>
      <c r="F216" s="140">
        <f t="shared" si="118"/>
        <v>0</v>
      </c>
      <c r="G216" s="140">
        <f t="shared" si="118"/>
        <v>0</v>
      </c>
      <c r="H216" s="140">
        <f t="shared" si="118"/>
        <v>0</v>
      </c>
      <c r="I216" s="149">
        <f t="shared" si="118"/>
        <v>0</v>
      </c>
      <c r="J216" s="142">
        <f>J37*(1-'Форма ввода'!$C$73/100)</f>
        <v>0</v>
      </c>
      <c r="K216" s="108">
        <f t="shared" si="91"/>
        <v>0</v>
      </c>
      <c r="L216" s="143">
        <f t="shared" si="88"/>
        <v>0</v>
      </c>
      <c r="M216" s="108">
        <f t="shared" si="89"/>
        <v>0</v>
      </c>
      <c r="N216" s="108">
        <f t="shared" si="92"/>
        <v>0</v>
      </c>
      <c r="O216" s="144"/>
      <c r="P216" s="145"/>
    </row>
    <row r="217" spans="1:16" s="110" customFormat="1">
      <c r="A217" s="139">
        <f t="shared" ref="A217:I217" si="119">A38</f>
        <v>29</v>
      </c>
      <c r="B217" s="140">
        <f t="shared" si="119"/>
        <v>0</v>
      </c>
      <c r="C217" s="140">
        <f t="shared" si="119"/>
        <v>0</v>
      </c>
      <c r="D217" s="140">
        <f t="shared" si="119"/>
        <v>0</v>
      </c>
      <c r="E217" s="140">
        <f t="shared" si="119"/>
        <v>0</v>
      </c>
      <c r="F217" s="140">
        <f t="shared" si="119"/>
        <v>0</v>
      </c>
      <c r="G217" s="140">
        <f t="shared" si="119"/>
        <v>0</v>
      </c>
      <c r="H217" s="140">
        <f t="shared" si="119"/>
        <v>0</v>
      </c>
      <c r="I217" s="149">
        <f t="shared" si="119"/>
        <v>0</v>
      </c>
      <c r="J217" s="142">
        <f>J38*(1-'Форма ввода'!$C$73/100)</f>
        <v>0</v>
      </c>
      <c r="K217" s="108">
        <f t="shared" si="91"/>
        <v>0</v>
      </c>
      <c r="L217" s="143">
        <f t="shared" si="88"/>
        <v>0</v>
      </c>
      <c r="M217" s="108">
        <f t="shared" si="89"/>
        <v>0</v>
      </c>
      <c r="N217" s="108">
        <f t="shared" si="92"/>
        <v>0</v>
      </c>
      <c r="O217" s="144"/>
      <c r="P217" s="145"/>
    </row>
    <row r="218" spans="1:16" s="110" customFormat="1">
      <c r="A218" s="139">
        <f t="shared" ref="A218:I218" si="120">A39</f>
        <v>30</v>
      </c>
      <c r="B218" s="140">
        <f t="shared" si="120"/>
        <v>0</v>
      </c>
      <c r="C218" s="140">
        <f t="shared" si="120"/>
        <v>0</v>
      </c>
      <c r="D218" s="140">
        <f t="shared" si="120"/>
        <v>0</v>
      </c>
      <c r="E218" s="140">
        <f t="shared" si="120"/>
        <v>0</v>
      </c>
      <c r="F218" s="140">
        <f t="shared" si="120"/>
        <v>0</v>
      </c>
      <c r="G218" s="140">
        <f t="shared" si="120"/>
        <v>0</v>
      </c>
      <c r="H218" s="140">
        <f t="shared" si="120"/>
        <v>0</v>
      </c>
      <c r="I218" s="149">
        <f t="shared" si="120"/>
        <v>0</v>
      </c>
      <c r="J218" s="142">
        <f>J39*(1-'Форма ввода'!$C$73/100)</f>
        <v>0</v>
      </c>
      <c r="K218" s="108">
        <f t="shared" si="91"/>
        <v>0</v>
      </c>
      <c r="L218" s="143">
        <f t="shared" si="88"/>
        <v>0</v>
      </c>
      <c r="M218" s="108">
        <f t="shared" si="89"/>
        <v>0</v>
      </c>
      <c r="N218" s="108">
        <f t="shared" si="92"/>
        <v>0</v>
      </c>
      <c r="O218" s="144"/>
      <c r="P218" s="145"/>
    </row>
    <row r="219" spans="1:16" s="110" customFormat="1">
      <c r="A219" s="139">
        <f t="shared" ref="A219:I219" si="121">A40</f>
        <v>31</v>
      </c>
      <c r="B219" s="140">
        <f t="shared" si="121"/>
        <v>0</v>
      </c>
      <c r="C219" s="140">
        <f t="shared" si="121"/>
        <v>0</v>
      </c>
      <c r="D219" s="140">
        <f t="shared" si="121"/>
        <v>0</v>
      </c>
      <c r="E219" s="140">
        <f t="shared" si="121"/>
        <v>0</v>
      </c>
      <c r="F219" s="140">
        <f t="shared" si="121"/>
        <v>0</v>
      </c>
      <c r="G219" s="140">
        <f t="shared" si="121"/>
        <v>0</v>
      </c>
      <c r="H219" s="140">
        <f t="shared" si="121"/>
        <v>0</v>
      </c>
      <c r="I219" s="149">
        <f t="shared" si="121"/>
        <v>0</v>
      </c>
      <c r="J219" s="142">
        <f>J40*(1-'Форма ввода'!$C$73/100)</f>
        <v>0</v>
      </c>
      <c r="K219" s="108">
        <f t="shared" si="91"/>
        <v>0</v>
      </c>
      <c r="L219" s="143">
        <f t="shared" si="88"/>
        <v>0</v>
      </c>
      <c r="M219" s="108">
        <f t="shared" si="89"/>
        <v>0</v>
      </c>
      <c r="N219" s="108">
        <f t="shared" si="92"/>
        <v>0</v>
      </c>
      <c r="O219" s="144"/>
      <c r="P219" s="145"/>
    </row>
    <row r="220" spans="1:16" s="110" customFormat="1">
      <c r="A220" s="139">
        <f t="shared" ref="A220:I220" si="122">A41</f>
        <v>32</v>
      </c>
      <c r="B220" s="140">
        <f t="shared" si="122"/>
        <v>0</v>
      </c>
      <c r="C220" s="140">
        <f t="shared" si="122"/>
        <v>0</v>
      </c>
      <c r="D220" s="140">
        <f t="shared" si="122"/>
        <v>0</v>
      </c>
      <c r="E220" s="140">
        <f t="shared" si="122"/>
        <v>0</v>
      </c>
      <c r="F220" s="140">
        <f t="shared" si="122"/>
        <v>0</v>
      </c>
      <c r="G220" s="140">
        <f t="shared" si="122"/>
        <v>0</v>
      </c>
      <c r="H220" s="140">
        <f t="shared" si="122"/>
        <v>0</v>
      </c>
      <c r="I220" s="149">
        <f t="shared" si="122"/>
        <v>0</v>
      </c>
      <c r="J220" s="142">
        <f>J41*(1-'Форма ввода'!$C$73/100)</f>
        <v>0</v>
      </c>
      <c r="K220" s="108">
        <f t="shared" si="91"/>
        <v>0</v>
      </c>
      <c r="L220" s="143">
        <f t="shared" si="88"/>
        <v>0</v>
      </c>
      <c r="M220" s="108">
        <f t="shared" si="89"/>
        <v>0</v>
      </c>
      <c r="N220" s="108">
        <f t="shared" si="92"/>
        <v>0</v>
      </c>
      <c r="O220" s="144"/>
      <c r="P220" s="145"/>
    </row>
    <row r="221" spans="1:16" s="110" customFormat="1">
      <c r="A221" s="139">
        <f t="shared" ref="A221:I221" si="123">A42</f>
        <v>33</v>
      </c>
      <c r="B221" s="140">
        <f t="shared" si="123"/>
        <v>0</v>
      </c>
      <c r="C221" s="140">
        <f t="shared" si="123"/>
        <v>0</v>
      </c>
      <c r="D221" s="140">
        <f t="shared" si="123"/>
        <v>0</v>
      </c>
      <c r="E221" s="140">
        <f t="shared" si="123"/>
        <v>0</v>
      </c>
      <c r="F221" s="140">
        <f t="shared" si="123"/>
        <v>0</v>
      </c>
      <c r="G221" s="140">
        <f t="shared" si="123"/>
        <v>0</v>
      </c>
      <c r="H221" s="140">
        <f t="shared" si="123"/>
        <v>0</v>
      </c>
      <c r="I221" s="149">
        <f t="shared" si="123"/>
        <v>0</v>
      </c>
      <c r="J221" s="142">
        <f>J42*(1-'Форма ввода'!$C$73/100)</f>
        <v>0</v>
      </c>
      <c r="K221" s="108">
        <f t="shared" si="91"/>
        <v>0</v>
      </c>
      <c r="L221" s="143">
        <f t="shared" ref="L221:L252" si="124">L42</f>
        <v>0</v>
      </c>
      <c r="M221" s="108">
        <f t="shared" si="89"/>
        <v>0</v>
      </c>
      <c r="N221" s="108">
        <f t="shared" si="92"/>
        <v>0</v>
      </c>
      <c r="O221" s="144"/>
      <c r="P221" s="145"/>
    </row>
    <row r="222" spans="1:16" s="110" customFormat="1">
      <c r="A222" s="139">
        <f t="shared" ref="A222:I222" si="125">A43</f>
        <v>34</v>
      </c>
      <c r="B222" s="140">
        <f t="shared" si="125"/>
        <v>0</v>
      </c>
      <c r="C222" s="140">
        <f t="shared" si="125"/>
        <v>0</v>
      </c>
      <c r="D222" s="140">
        <f t="shared" si="125"/>
        <v>0</v>
      </c>
      <c r="E222" s="140">
        <f t="shared" si="125"/>
        <v>0</v>
      </c>
      <c r="F222" s="140">
        <f t="shared" si="125"/>
        <v>0</v>
      </c>
      <c r="G222" s="140">
        <f t="shared" si="125"/>
        <v>0</v>
      </c>
      <c r="H222" s="140">
        <f t="shared" si="125"/>
        <v>0</v>
      </c>
      <c r="I222" s="149">
        <f t="shared" si="125"/>
        <v>0</v>
      </c>
      <c r="J222" s="142">
        <f>J43*(1-'Форма ввода'!$C$73/100)</f>
        <v>0</v>
      </c>
      <c r="K222" s="108">
        <f t="shared" si="91"/>
        <v>0</v>
      </c>
      <c r="L222" s="143">
        <f t="shared" si="124"/>
        <v>0</v>
      </c>
      <c r="M222" s="108">
        <f t="shared" si="89"/>
        <v>0</v>
      </c>
      <c r="N222" s="108">
        <f t="shared" si="92"/>
        <v>0</v>
      </c>
      <c r="O222" s="144"/>
      <c r="P222" s="145"/>
    </row>
    <row r="223" spans="1:16" s="110" customFormat="1">
      <c r="A223" s="139">
        <f t="shared" ref="A223:I223" si="126">A44</f>
        <v>35</v>
      </c>
      <c r="B223" s="140">
        <f t="shared" si="126"/>
        <v>0</v>
      </c>
      <c r="C223" s="140">
        <f t="shared" si="126"/>
        <v>0</v>
      </c>
      <c r="D223" s="140">
        <f t="shared" si="126"/>
        <v>0</v>
      </c>
      <c r="E223" s="140">
        <f t="shared" si="126"/>
        <v>0</v>
      </c>
      <c r="F223" s="140">
        <f t="shared" si="126"/>
        <v>0</v>
      </c>
      <c r="G223" s="140">
        <f t="shared" si="126"/>
        <v>0</v>
      </c>
      <c r="H223" s="140">
        <f t="shared" si="126"/>
        <v>0</v>
      </c>
      <c r="I223" s="149">
        <f t="shared" si="126"/>
        <v>0</v>
      </c>
      <c r="J223" s="142">
        <f>J44*(1-'Форма ввода'!$C$73/100)</f>
        <v>0</v>
      </c>
      <c r="K223" s="108">
        <f t="shared" si="91"/>
        <v>0</v>
      </c>
      <c r="L223" s="143">
        <f t="shared" si="124"/>
        <v>0</v>
      </c>
      <c r="M223" s="108">
        <f t="shared" si="89"/>
        <v>0</v>
      </c>
      <c r="N223" s="108">
        <f t="shared" si="92"/>
        <v>0</v>
      </c>
      <c r="O223" s="144"/>
      <c r="P223" s="145"/>
    </row>
    <row r="224" spans="1:16" s="110" customFormat="1">
      <c r="A224" s="139">
        <f t="shared" ref="A224:I224" si="127">A45</f>
        <v>36</v>
      </c>
      <c r="B224" s="140">
        <f t="shared" si="127"/>
        <v>0</v>
      </c>
      <c r="C224" s="140">
        <f t="shared" si="127"/>
        <v>0</v>
      </c>
      <c r="D224" s="140">
        <f t="shared" si="127"/>
        <v>0</v>
      </c>
      <c r="E224" s="140">
        <f t="shared" si="127"/>
        <v>0</v>
      </c>
      <c r="F224" s="140">
        <f t="shared" si="127"/>
        <v>0</v>
      </c>
      <c r="G224" s="140">
        <f t="shared" si="127"/>
        <v>0</v>
      </c>
      <c r="H224" s="140">
        <f t="shared" si="127"/>
        <v>0</v>
      </c>
      <c r="I224" s="149">
        <f t="shared" si="127"/>
        <v>0</v>
      </c>
      <c r="J224" s="142">
        <f>J45*(1-'Форма ввода'!$C$73/100)</f>
        <v>0</v>
      </c>
      <c r="K224" s="108">
        <f t="shared" si="91"/>
        <v>0</v>
      </c>
      <c r="L224" s="143">
        <f t="shared" si="124"/>
        <v>0</v>
      </c>
      <c r="M224" s="108">
        <f t="shared" si="89"/>
        <v>0</v>
      </c>
      <c r="N224" s="108">
        <f t="shared" si="92"/>
        <v>0</v>
      </c>
      <c r="O224" s="144"/>
      <c r="P224" s="145"/>
    </row>
    <row r="225" spans="1:16" s="110" customFormat="1">
      <c r="A225" s="139">
        <f t="shared" ref="A225:I225" si="128">A46</f>
        <v>37</v>
      </c>
      <c r="B225" s="140">
        <f t="shared" si="128"/>
        <v>0</v>
      </c>
      <c r="C225" s="140">
        <f t="shared" si="128"/>
        <v>0</v>
      </c>
      <c r="D225" s="140">
        <f t="shared" si="128"/>
        <v>0</v>
      </c>
      <c r="E225" s="140">
        <f t="shared" si="128"/>
        <v>0</v>
      </c>
      <c r="F225" s="140">
        <f t="shared" si="128"/>
        <v>0</v>
      </c>
      <c r="G225" s="140">
        <f t="shared" si="128"/>
        <v>0</v>
      </c>
      <c r="H225" s="140">
        <f t="shared" si="128"/>
        <v>0</v>
      </c>
      <c r="I225" s="149">
        <f t="shared" si="128"/>
        <v>0</v>
      </c>
      <c r="J225" s="142">
        <f>J46*(1-'Форма ввода'!$C$73/100)</f>
        <v>0</v>
      </c>
      <c r="K225" s="108">
        <f t="shared" si="91"/>
        <v>0</v>
      </c>
      <c r="L225" s="143">
        <f t="shared" si="124"/>
        <v>0</v>
      </c>
      <c r="M225" s="108">
        <f t="shared" si="89"/>
        <v>0</v>
      </c>
      <c r="N225" s="108">
        <f t="shared" si="92"/>
        <v>0</v>
      </c>
      <c r="O225" s="144"/>
      <c r="P225" s="145"/>
    </row>
    <row r="226" spans="1:16" s="110" customFormat="1">
      <c r="A226" s="139">
        <f t="shared" ref="A226:I226" si="129">A47</f>
        <v>38</v>
      </c>
      <c r="B226" s="140">
        <f t="shared" si="129"/>
        <v>0</v>
      </c>
      <c r="C226" s="140">
        <f t="shared" si="129"/>
        <v>0</v>
      </c>
      <c r="D226" s="140">
        <f t="shared" si="129"/>
        <v>0</v>
      </c>
      <c r="E226" s="140">
        <f t="shared" si="129"/>
        <v>0</v>
      </c>
      <c r="F226" s="140">
        <f t="shared" si="129"/>
        <v>0</v>
      </c>
      <c r="G226" s="140">
        <f t="shared" si="129"/>
        <v>0</v>
      </c>
      <c r="H226" s="140">
        <f t="shared" si="129"/>
        <v>0</v>
      </c>
      <c r="I226" s="149">
        <f t="shared" si="129"/>
        <v>0</v>
      </c>
      <c r="J226" s="142">
        <f>J47*(1-'Форма ввода'!$C$73/100)</f>
        <v>0</v>
      </c>
      <c r="K226" s="108">
        <f t="shared" si="91"/>
        <v>0</v>
      </c>
      <c r="L226" s="143">
        <f t="shared" si="124"/>
        <v>0</v>
      </c>
      <c r="M226" s="108">
        <f t="shared" si="89"/>
        <v>0</v>
      </c>
      <c r="N226" s="108">
        <f t="shared" si="92"/>
        <v>0</v>
      </c>
      <c r="O226" s="144"/>
      <c r="P226" s="145"/>
    </row>
    <row r="227" spans="1:16" s="110" customFormat="1">
      <c r="A227" s="139">
        <f t="shared" ref="A227:I227" si="130">A48</f>
        <v>39</v>
      </c>
      <c r="B227" s="140">
        <f t="shared" si="130"/>
        <v>0</v>
      </c>
      <c r="C227" s="140">
        <f t="shared" si="130"/>
        <v>0</v>
      </c>
      <c r="D227" s="140">
        <f t="shared" si="130"/>
        <v>0</v>
      </c>
      <c r="E227" s="140">
        <f t="shared" si="130"/>
        <v>0</v>
      </c>
      <c r="F227" s="140">
        <f t="shared" si="130"/>
        <v>0</v>
      </c>
      <c r="G227" s="140">
        <f t="shared" si="130"/>
        <v>0</v>
      </c>
      <c r="H227" s="140">
        <f t="shared" si="130"/>
        <v>0</v>
      </c>
      <c r="I227" s="149">
        <f t="shared" si="130"/>
        <v>0</v>
      </c>
      <c r="J227" s="142">
        <f>J48*(1-'Форма ввода'!$C$73/100)</f>
        <v>0</v>
      </c>
      <c r="K227" s="108">
        <f t="shared" si="91"/>
        <v>0</v>
      </c>
      <c r="L227" s="143">
        <f t="shared" si="124"/>
        <v>0</v>
      </c>
      <c r="M227" s="108">
        <f t="shared" si="89"/>
        <v>0</v>
      </c>
      <c r="N227" s="108">
        <f t="shared" si="92"/>
        <v>0</v>
      </c>
      <c r="O227" s="144"/>
      <c r="P227" s="145"/>
    </row>
    <row r="228" spans="1:16" s="110" customFormat="1">
      <c r="A228" s="139">
        <f t="shared" ref="A228:I228" si="131">A49</f>
        <v>40</v>
      </c>
      <c r="B228" s="140">
        <f t="shared" si="131"/>
        <v>0</v>
      </c>
      <c r="C228" s="140">
        <f t="shared" si="131"/>
        <v>0</v>
      </c>
      <c r="D228" s="140">
        <f t="shared" si="131"/>
        <v>0</v>
      </c>
      <c r="E228" s="140">
        <f t="shared" si="131"/>
        <v>0</v>
      </c>
      <c r="F228" s="140">
        <f t="shared" si="131"/>
        <v>0</v>
      </c>
      <c r="G228" s="140">
        <f t="shared" si="131"/>
        <v>0</v>
      </c>
      <c r="H228" s="140">
        <f t="shared" si="131"/>
        <v>0</v>
      </c>
      <c r="I228" s="149">
        <f t="shared" si="131"/>
        <v>0</v>
      </c>
      <c r="J228" s="142">
        <f>J49*(1-'Форма ввода'!$C$73/100)</f>
        <v>0</v>
      </c>
      <c r="K228" s="108">
        <f t="shared" si="91"/>
        <v>0</v>
      </c>
      <c r="L228" s="143">
        <f t="shared" si="124"/>
        <v>0</v>
      </c>
      <c r="M228" s="108">
        <f t="shared" si="89"/>
        <v>0</v>
      </c>
      <c r="N228" s="108">
        <f t="shared" si="92"/>
        <v>0</v>
      </c>
      <c r="O228" s="144"/>
      <c r="P228" s="145"/>
    </row>
    <row r="229" spans="1:16" s="110" customFormat="1">
      <c r="A229" s="139">
        <f t="shared" ref="A229:I229" si="132">A50</f>
        <v>41</v>
      </c>
      <c r="B229" s="140">
        <f t="shared" si="132"/>
        <v>0</v>
      </c>
      <c r="C229" s="140">
        <f t="shared" si="132"/>
        <v>0</v>
      </c>
      <c r="D229" s="140">
        <f t="shared" si="132"/>
        <v>0</v>
      </c>
      <c r="E229" s="140">
        <f t="shared" si="132"/>
        <v>0</v>
      </c>
      <c r="F229" s="140">
        <f t="shared" si="132"/>
        <v>0</v>
      </c>
      <c r="G229" s="140">
        <f t="shared" si="132"/>
        <v>0</v>
      </c>
      <c r="H229" s="140">
        <f t="shared" si="132"/>
        <v>0</v>
      </c>
      <c r="I229" s="149">
        <f t="shared" si="132"/>
        <v>0</v>
      </c>
      <c r="J229" s="142">
        <f>J50*(1-'Форма ввода'!$C$73/100)</f>
        <v>0</v>
      </c>
      <c r="K229" s="108">
        <f t="shared" si="91"/>
        <v>0</v>
      </c>
      <c r="L229" s="143">
        <f t="shared" si="124"/>
        <v>0</v>
      </c>
      <c r="M229" s="108">
        <f t="shared" si="89"/>
        <v>0</v>
      </c>
      <c r="N229" s="108">
        <f t="shared" si="92"/>
        <v>0</v>
      </c>
      <c r="O229" s="144"/>
      <c r="P229" s="145"/>
    </row>
    <row r="230" spans="1:16" s="110" customFormat="1">
      <c r="A230" s="139">
        <f t="shared" ref="A230:I230" si="133">A51</f>
        <v>42</v>
      </c>
      <c r="B230" s="140">
        <f t="shared" si="133"/>
        <v>0</v>
      </c>
      <c r="C230" s="140">
        <f t="shared" si="133"/>
        <v>0</v>
      </c>
      <c r="D230" s="140">
        <f t="shared" si="133"/>
        <v>0</v>
      </c>
      <c r="E230" s="140">
        <f t="shared" si="133"/>
        <v>0</v>
      </c>
      <c r="F230" s="140">
        <f t="shared" si="133"/>
        <v>0</v>
      </c>
      <c r="G230" s="140">
        <f t="shared" si="133"/>
        <v>0</v>
      </c>
      <c r="H230" s="140">
        <f t="shared" si="133"/>
        <v>0</v>
      </c>
      <c r="I230" s="149">
        <f t="shared" si="133"/>
        <v>0</v>
      </c>
      <c r="J230" s="142">
        <f>J51*(1-'Форма ввода'!$C$73/100)</f>
        <v>0</v>
      </c>
      <c r="K230" s="108">
        <f t="shared" si="91"/>
        <v>0</v>
      </c>
      <c r="L230" s="143">
        <f t="shared" si="124"/>
        <v>0</v>
      </c>
      <c r="M230" s="108">
        <f t="shared" si="89"/>
        <v>0</v>
      </c>
      <c r="N230" s="108">
        <f t="shared" si="92"/>
        <v>0</v>
      </c>
      <c r="O230" s="144"/>
      <c r="P230" s="145"/>
    </row>
    <row r="231" spans="1:16" s="110" customFormat="1">
      <c r="A231" s="139">
        <f t="shared" ref="A231:I231" si="134">A52</f>
        <v>43</v>
      </c>
      <c r="B231" s="140">
        <f t="shared" si="134"/>
        <v>0</v>
      </c>
      <c r="C231" s="140">
        <f t="shared" si="134"/>
        <v>0</v>
      </c>
      <c r="D231" s="140">
        <f t="shared" si="134"/>
        <v>0</v>
      </c>
      <c r="E231" s="140">
        <f t="shared" si="134"/>
        <v>0</v>
      </c>
      <c r="F231" s="140">
        <f t="shared" si="134"/>
        <v>0</v>
      </c>
      <c r="G231" s="140">
        <f t="shared" si="134"/>
        <v>0</v>
      </c>
      <c r="H231" s="140">
        <f t="shared" si="134"/>
        <v>0</v>
      </c>
      <c r="I231" s="149">
        <f t="shared" si="134"/>
        <v>0</v>
      </c>
      <c r="J231" s="142">
        <f>J52*(1-'Форма ввода'!$C$73/100)</f>
        <v>0</v>
      </c>
      <c r="K231" s="108">
        <f t="shared" si="91"/>
        <v>0</v>
      </c>
      <c r="L231" s="143">
        <f t="shared" si="124"/>
        <v>0</v>
      </c>
      <c r="M231" s="108">
        <f t="shared" si="89"/>
        <v>0</v>
      </c>
      <c r="N231" s="108">
        <f t="shared" si="92"/>
        <v>0</v>
      </c>
      <c r="O231" s="144"/>
      <c r="P231" s="145"/>
    </row>
    <row r="232" spans="1:16" s="110" customFormat="1">
      <c r="A232" s="139">
        <f t="shared" ref="A232:I232" si="135">A53</f>
        <v>44</v>
      </c>
      <c r="B232" s="140">
        <f t="shared" si="135"/>
        <v>0</v>
      </c>
      <c r="C232" s="140">
        <f t="shared" si="135"/>
        <v>0</v>
      </c>
      <c r="D232" s="140">
        <f t="shared" si="135"/>
        <v>0</v>
      </c>
      <c r="E232" s="140">
        <f t="shared" si="135"/>
        <v>0</v>
      </c>
      <c r="F232" s="140">
        <f t="shared" si="135"/>
        <v>0</v>
      </c>
      <c r="G232" s="140">
        <f t="shared" si="135"/>
        <v>0</v>
      </c>
      <c r="H232" s="140">
        <f t="shared" si="135"/>
        <v>0</v>
      </c>
      <c r="I232" s="149">
        <f t="shared" si="135"/>
        <v>0</v>
      </c>
      <c r="J232" s="142">
        <f>J53*(1-'Форма ввода'!$C$73/100)</f>
        <v>0</v>
      </c>
      <c r="K232" s="108">
        <f t="shared" si="91"/>
        <v>0</v>
      </c>
      <c r="L232" s="143">
        <f t="shared" si="124"/>
        <v>0</v>
      </c>
      <c r="M232" s="108">
        <f t="shared" si="89"/>
        <v>0</v>
      </c>
      <c r="N232" s="108">
        <f t="shared" si="92"/>
        <v>0</v>
      </c>
      <c r="O232" s="144"/>
      <c r="P232" s="145"/>
    </row>
    <row r="233" spans="1:16" s="110" customFormat="1">
      <c r="A233" s="139">
        <f t="shared" ref="A233:I233" si="136">A54</f>
        <v>45</v>
      </c>
      <c r="B233" s="140">
        <f t="shared" si="136"/>
        <v>0</v>
      </c>
      <c r="C233" s="140">
        <f t="shared" si="136"/>
        <v>0</v>
      </c>
      <c r="D233" s="140">
        <f t="shared" si="136"/>
        <v>0</v>
      </c>
      <c r="E233" s="140">
        <f t="shared" si="136"/>
        <v>0</v>
      </c>
      <c r="F233" s="140">
        <f t="shared" si="136"/>
        <v>0</v>
      </c>
      <c r="G233" s="140">
        <f t="shared" si="136"/>
        <v>0</v>
      </c>
      <c r="H233" s="140">
        <f t="shared" si="136"/>
        <v>0</v>
      </c>
      <c r="I233" s="149">
        <f t="shared" si="136"/>
        <v>0</v>
      </c>
      <c r="J233" s="142">
        <f>J54*(1-'Форма ввода'!$C$73/100)</f>
        <v>0</v>
      </c>
      <c r="K233" s="108">
        <f t="shared" si="91"/>
        <v>0</v>
      </c>
      <c r="L233" s="143">
        <f t="shared" si="124"/>
        <v>0</v>
      </c>
      <c r="M233" s="108">
        <f t="shared" si="89"/>
        <v>0</v>
      </c>
      <c r="N233" s="108">
        <f t="shared" si="92"/>
        <v>0</v>
      </c>
      <c r="O233" s="144"/>
      <c r="P233" s="145"/>
    </row>
    <row r="234" spans="1:16" s="110" customFormat="1">
      <c r="A234" s="139">
        <f t="shared" ref="A234:I234" si="137">A55</f>
        <v>46</v>
      </c>
      <c r="B234" s="140">
        <f t="shared" si="137"/>
        <v>0</v>
      </c>
      <c r="C234" s="140">
        <f t="shared" si="137"/>
        <v>0</v>
      </c>
      <c r="D234" s="140">
        <f t="shared" si="137"/>
        <v>0</v>
      </c>
      <c r="E234" s="140">
        <f t="shared" si="137"/>
        <v>0</v>
      </c>
      <c r="F234" s="140">
        <f t="shared" si="137"/>
        <v>0</v>
      </c>
      <c r="G234" s="140">
        <f t="shared" si="137"/>
        <v>0</v>
      </c>
      <c r="H234" s="140">
        <f t="shared" si="137"/>
        <v>0</v>
      </c>
      <c r="I234" s="149">
        <f t="shared" si="137"/>
        <v>0</v>
      </c>
      <c r="J234" s="142">
        <f>J55*(1-'Форма ввода'!$C$73/100)</f>
        <v>0</v>
      </c>
      <c r="K234" s="108">
        <f t="shared" si="91"/>
        <v>0</v>
      </c>
      <c r="L234" s="143">
        <f t="shared" si="124"/>
        <v>0</v>
      </c>
      <c r="M234" s="108">
        <f t="shared" si="89"/>
        <v>0</v>
      </c>
      <c r="N234" s="108">
        <f t="shared" si="92"/>
        <v>0</v>
      </c>
      <c r="O234" s="144"/>
      <c r="P234" s="145"/>
    </row>
    <row r="235" spans="1:16" s="110" customFormat="1">
      <c r="A235" s="139">
        <f t="shared" ref="A235:I235" si="138">A56</f>
        <v>47</v>
      </c>
      <c r="B235" s="140">
        <f t="shared" si="138"/>
        <v>0</v>
      </c>
      <c r="C235" s="140">
        <f t="shared" si="138"/>
        <v>0</v>
      </c>
      <c r="D235" s="140">
        <f t="shared" si="138"/>
        <v>0</v>
      </c>
      <c r="E235" s="140">
        <f t="shared" si="138"/>
        <v>0</v>
      </c>
      <c r="F235" s="140">
        <f t="shared" si="138"/>
        <v>0</v>
      </c>
      <c r="G235" s="140">
        <f t="shared" si="138"/>
        <v>0</v>
      </c>
      <c r="H235" s="140">
        <f t="shared" si="138"/>
        <v>0</v>
      </c>
      <c r="I235" s="149">
        <f t="shared" si="138"/>
        <v>0</v>
      </c>
      <c r="J235" s="142">
        <f>J56*(1-'Форма ввода'!$C$73/100)</f>
        <v>0</v>
      </c>
      <c r="K235" s="108">
        <f t="shared" si="91"/>
        <v>0</v>
      </c>
      <c r="L235" s="143">
        <f t="shared" si="124"/>
        <v>0</v>
      </c>
      <c r="M235" s="108">
        <f t="shared" si="89"/>
        <v>0</v>
      </c>
      <c r="N235" s="108">
        <f t="shared" si="92"/>
        <v>0</v>
      </c>
      <c r="O235" s="144"/>
      <c r="P235" s="145"/>
    </row>
    <row r="236" spans="1:16" s="110" customFormat="1">
      <c r="A236" s="139">
        <f t="shared" ref="A236:I236" si="139">A57</f>
        <v>48</v>
      </c>
      <c r="B236" s="140">
        <f t="shared" si="139"/>
        <v>0</v>
      </c>
      <c r="C236" s="140">
        <f t="shared" si="139"/>
        <v>0</v>
      </c>
      <c r="D236" s="140">
        <f t="shared" si="139"/>
        <v>0</v>
      </c>
      <c r="E236" s="140">
        <f t="shared" si="139"/>
        <v>0</v>
      </c>
      <c r="F236" s="140">
        <f t="shared" si="139"/>
        <v>0</v>
      </c>
      <c r="G236" s="140">
        <f t="shared" si="139"/>
        <v>0</v>
      </c>
      <c r="H236" s="140">
        <f t="shared" si="139"/>
        <v>0</v>
      </c>
      <c r="I236" s="149">
        <f t="shared" si="139"/>
        <v>0</v>
      </c>
      <c r="J236" s="142">
        <f>J57*(1-'Форма ввода'!$C$73/100)</f>
        <v>0</v>
      </c>
      <c r="K236" s="108">
        <f t="shared" si="91"/>
        <v>0</v>
      </c>
      <c r="L236" s="143">
        <f t="shared" si="124"/>
        <v>0</v>
      </c>
      <c r="M236" s="108">
        <f t="shared" si="89"/>
        <v>0</v>
      </c>
      <c r="N236" s="108">
        <f t="shared" si="92"/>
        <v>0</v>
      </c>
      <c r="O236" s="144"/>
      <c r="P236" s="145"/>
    </row>
    <row r="237" spans="1:16" s="110" customFormat="1">
      <c r="A237" s="139">
        <f t="shared" ref="A237:I237" si="140">A58</f>
        <v>49</v>
      </c>
      <c r="B237" s="140">
        <f t="shared" si="140"/>
        <v>0</v>
      </c>
      <c r="C237" s="140">
        <f t="shared" si="140"/>
        <v>0</v>
      </c>
      <c r="D237" s="140">
        <f t="shared" si="140"/>
        <v>0</v>
      </c>
      <c r="E237" s="140">
        <f t="shared" si="140"/>
        <v>0</v>
      </c>
      <c r="F237" s="140">
        <f t="shared" si="140"/>
        <v>0</v>
      </c>
      <c r="G237" s="140">
        <f t="shared" si="140"/>
        <v>0</v>
      </c>
      <c r="H237" s="140">
        <f t="shared" si="140"/>
        <v>0</v>
      </c>
      <c r="I237" s="149">
        <f t="shared" si="140"/>
        <v>0</v>
      </c>
      <c r="J237" s="142">
        <f>J58*(1-'Форма ввода'!$C$73/100)</f>
        <v>0</v>
      </c>
      <c r="K237" s="108">
        <f t="shared" si="91"/>
        <v>0</v>
      </c>
      <c r="L237" s="143">
        <f t="shared" si="124"/>
        <v>0</v>
      </c>
      <c r="M237" s="108">
        <f t="shared" si="89"/>
        <v>0</v>
      </c>
      <c r="N237" s="108">
        <f t="shared" si="92"/>
        <v>0</v>
      </c>
      <c r="O237" s="144"/>
      <c r="P237" s="145"/>
    </row>
    <row r="238" spans="1:16" s="110" customFormat="1">
      <c r="A238" s="139">
        <f t="shared" ref="A238:I238" si="141">A59</f>
        <v>50</v>
      </c>
      <c r="B238" s="140">
        <f t="shared" si="141"/>
        <v>0</v>
      </c>
      <c r="C238" s="140">
        <f t="shared" si="141"/>
        <v>0</v>
      </c>
      <c r="D238" s="140">
        <f t="shared" si="141"/>
        <v>0</v>
      </c>
      <c r="E238" s="140">
        <f t="shared" si="141"/>
        <v>0</v>
      </c>
      <c r="F238" s="140">
        <f t="shared" si="141"/>
        <v>0</v>
      </c>
      <c r="G238" s="140">
        <f t="shared" si="141"/>
        <v>0</v>
      </c>
      <c r="H238" s="140">
        <f t="shared" si="141"/>
        <v>0</v>
      </c>
      <c r="I238" s="149">
        <f t="shared" si="141"/>
        <v>0</v>
      </c>
      <c r="J238" s="142">
        <f>J59*(1-'Форма ввода'!$C$73/100)</f>
        <v>0</v>
      </c>
      <c r="K238" s="108">
        <f t="shared" si="91"/>
        <v>0</v>
      </c>
      <c r="L238" s="143">
        <f t="shared" si="124"/>
        <v>0</v>
      </c>
      <c r="M238" s="108">
        <f t="shared" si="89"/>
        <v>0</v>
      </c>
      <c r="N238" s="108">
        <f t="shared" si="92"/>
        <v>0</v>
      </c>
      <c r="O238" s="144"/>
      <c r="P238" s="145"/>
    </row>
    <row r="239" spans="1:16" s="110" customFormat="1">
      <c r="A239" s="139">
        <f t="shared" ref="A239:I239" si="142">A60</f>
        <v>51</v>
      </c>
      <c r="B239" s="140">
        <f t="shared" si="142"/>
        <v>0</v>
      </c>
      <c r="C239" s="140">
        <f t="shared" si="142"/>
        <v>0</v>
      </c>
      <c r="D239" s="140">
        <f t="shared" si="142"/>
        <v>0</v>
      </c>
      <c r="E239" s="140">
        <f t="shared" si="142"/>
        <v>0</v>
      </c>
      <c r="F239" s="140">
        <f t="shared" si="142"/>
        <v>0</v>
      </c>
      <c r="G239" s="140">
        <f t="shared" si="142"/>
        <v>0</v>
      </c>
      <c r="H239" s="140">
        <f t="shared" si="142"/>
        <v>0</v>
      </c>
      <c r="I239" s="149">
        <f t="shared" si="142"/>
        <v>0</v>
      </c>
      <c r="J239" s="142">
        <f>J60*(1-'Форма ввода'!$C$73/100)</f>
        <v>0</v>
      </c>
      <c r="K239" s="108">
        <f t="shared" si="91"/>
        <v>0</v>
      </c>
      <c r="L239" s="143">
        <f t="shared" si="124"/>
        <v>0</v>
      </c>
      <c r="M239" s="108">
        <f t="shared" si="89"/>
        <v>0</v>
      </c>
      <c r="N239" s="108">
        <f t="shared" si="92"/>
        <v>0</v>
      </c>
      <c r="O239" s="144"/>
      <c r="P239" s="145"/>
    </row>
    <row r="240" spans="1:16" s="110" customFormat="1">
      <c r="A240" s="139">
        <f t="shared" ref="A240:I240" si="143">A61</f>
        <v>52</v>
      </c>
      <c r="B240" s="140">
        <f t="shared" si="143"/>
        <v>0</v>
      </c>
      <c r="C240" s="140">
        <f t="shared" si="143"/>
        <v>0</v>
      </c>
      <c r="D240" s="140">
        <f t="shared" si="143"/>
        <v>0</v>
      </c>
      <c r="E240" s="140">
        <f t="shared" si="143"/>
        <v>0</v>
      </c>
      <c r="F240" s="140">
        <f t="shared" si="143"/>
        <v>0</v>
      </c>
      <c r="G240" s="140">
        <f t="shared" si="143"/>
        <v>0</v>
      </c>
      <c r="H240" s="140">
        <f t="shared" si="143"/>
        <v>0</v>
      </c>
      <c r="I240" s="149">
        <f t="shared" si="143"/>
        <v>0</v>
      </c>
      <c r="J240" s="142">
        <f>J61*(1-'Форма ввода'!$C$73/100)</f>
        <v>0</v>
      </c>
      <c r="K240" s="108">
        <f t="shared" si="91"/>
        <v>0</v>
      </c>
      <c r="L240" s="143">
        <f t="shared" si="124"/>
        <v>0</v>
      </c>
      <c r="M240" s="108">
        <f t="shared" si="89"/>
        <v>0</v>
      </c>
      <c r="N240" s="108">
        <f t="shared" si="92"/>
        <v>0</v>
      </c>
      <c r="O240" s="144"/>
      <c r="P240" s="145"/>
    </row>
    <row r="241" spans="1:16" s="110" customFormat="1">
      <c r="A241" s="139">
        <f t="shared" ref="A241:I241" si="144">A62</f>
        <v>53</v>
      </c>
      <c r="B241" s="140">
        <f t="shared" si="144"/>
        <v>0</v>
      </c>
      <c r="C241" s="140">
        <f t="shared" si="144"/>
        <v>0</v>
      </c>
      <c r="D241" s="140">
        <f t="shared" si="144"/>
        <v>0</v>
      </c>
      <c r="E241" s="140">
        <f t="shared" si="144"/>
        <v>0</v>
      </c>
      <c r="F241" s="140">
        <f t="shared" si="144"/>
        <v>0</v>
      </c>
      <c r="G241" s="140">
        <f t="shared" si="144"/>
        <v>0</v>
      </c>
      <c r="H241" s="140">
        <f t="shared" si="144"/>
        <v>0</v>
      </c>
      <c r="I241" s="149">
        <f t="shared" si="144"/>
        <v>0</v>
      </c>
      <c r="J241" s="142">
        <f>J62*(1-'Форма ввода'!$C$73/100)</f>
        <v>0</v>
      </c>
      <c r="K241" s="108">
        <f t="shared" si="91"/>
        <v>0</v>
      </c>
      <c r="L241" s="143">
        <f t="shared" si="124"/>
        <v>0</v>
      </c>
      <c r="M241" s="108">
        <f t="shared" si="89"/>
        <v>0</v>
      </c>
      <c r="N241" s="108">
        <f t="shared" si="92"/>
        <v>0</v>
      </c>
      <c r="O241" s="144"/>
      <c r="P241" s="145"/>
    </row>
    <row r="242" spans="1:16" s="110" customFormat="1">
      <c r="A242" s="139">
        <f t="shared" ref="A242:I242" si="145">A63</f>
        <v>54</v>
      </c>
      <c r="B242" s="140">
        <f t="shared" si="145"/>
        <v>0</v>
      </c>
      <c r="C242" s="140">
        <f t="shared" si="145"/>
        <v>0</v>
      </c>
      <c r="D242" s="140">
        <f t="shared" si="145"/>
        <v>0</v>
      </c>
      <c r="E242" s="140">
        <f t="shared" si="145"/>
        <v>0</v>
      </c>
      <c r="F242" s="140">
        <f t="shared" si="145"/>
        <v>0</v>
      </c>
      <c r="G242" s="140">
        <f t="shared" si="145"/>
        <v>0</v>
      </c>
      <c r="H242" s="140">
        <f t="shared" si="145"/>
        <v>0</v>
      </c>
      <c r="I242" s="149">
        <f t="shared" si="145"/>
        <v>0</v>
      </c>
      <c r="J242" s="142">
        <f>J63*(1-'Форма ввода'!$C$73/100)</f>
        <v>0</v>
      </c>
      <c r="K242" s="108">
        <f t="shared" si="91"/>
        <v>0</v>
      </c>
      <c r="L242" s="143">
        <f t="shared" si="124"/>
        <v>0</v>
      </c>
      <c r="M242" s="108">
        <f t="shared" si="89"/>
        <v>0</v>
      </c>
      <c r="N242" s="108">
        <f t="shared" si="92"/>
        <v>0</v>
      </c>
      <c r="O242" s="144"/>
      <c r="P242" s="145"/>
    </row>
    <row r="243" spans="1:16" s="110" customFormat="1">
      <c r="A243" s="139">
        <f t="shared" ref="A243:I243" si="146">A64</f>
        <v>55</v>
      </c>
      <c r="B243" s="140">
        <f t="shared" si="146"/>
        <v>0</v>
      </c>
      <c r="C243" s="140">
        <f t="shared" si="146"/>
        <v>0</v>
      </c>
      <c r="D243" s="140">
        <f t="shared" si="146"/>
        <v>0</v>
      </c>
      <c r="E243" s="140">
        <f t="shared" si="146"/>
        <v>0</v>
      </c>
      <c r="F243" s="140">
        <f t="shared" si="146"/>
        <v>0</v>
      </c>
      <c r="G243" s="140">
        <f t="shared" si="146"/>
        <v>0</v>
      </c>
      <c r="H243" s="140">
        <f t="shared" si="146"/>
        <v>0</v>
      </c>
      <c r="I243" s="149">
        <f t="shared" si="146"/>
        <v>0</v>
      </c>
      <c r="J243" s="142">
        <f>J64*(1-'Форма ввода'!$C$73/100)</f>
        <v>0</v>
      </c>
      <c r="K243" s="108">
        <f t="shared" si="91"/>
        <v>0</v>
      </c>
      <c r="L243" s="143">
        <f t="shared" si="124"/>
        <v>0</v>
      </c>
      <c r="M243" s="108">
        <f t="shared" si="89"/>
        <v>0</v>
      </c>
      <c r="N243" s="108">
        <f t="shared" si="92"/>
        <v>0</v>
      </c>
      <c r="O243" s="144"/>
      <c r="P243" s="145"/>
    </row>
    <row r="244" spans="1:16" s="110" customFormat="1">
      <c r="A244" s="139">
        <f t="shared" ref="A244:I244" si="147">A65</f>
        <v>56</v>
      </c>
      <c r="B244" s="140">
        <f t="shared" si="147"/>
        <v>0</v>
      </c>
      <c r="C244" s="140">
        <f t="shared" si="147"/>
        <v>0</v>
      </c>
      <c r="D244" s="140">
        <f t="shared" si="147"/>
        <v>0</v>
      </c>
      <c r="E244" s="140">
        <f t="shared" si="147"/>
        <v>0</v>
      </c>
      <c r="F244" s="140">
        <f t="shared" si="147"/>
        <v>0</v>
      </c>
      <c r="G244" s="140">
        <f t="shared" si="147"/>
        <v>0</v>
      </c>
      <c r="H244" s="140">
        <f t="shared" si="147"/>
        <v>0</v>
      </c>
      <c r="I244" s="149">
        <f t="shared" si="147"/>
        <v>0</v>
      </c>
      <c r="J244" s="142">
        <f>J65*(1-'Форма ввода'!$C$73/100)</f>
        <v>0</v>
      </c>
      <c r="K244" s="108">
        <f t="shared" si="91"/>
        <v>0</v>
      </c>
      <c r="L244" s="143">
        <f t="shared" si="124"/>
        <v>0</v>
      </c>
      <c r="M244" s="108">
        <f t="shared" si="89"/>
        <v>0</v>
      </c>
      <c r="N244" s="108">
        <f t="shared" si="92"/>
        <v>0</v>
      </c>
      <c r="O244" s="144"/>
      <c r="P244" s="145"/>
    </row>
    <row r="245" spans="1:16" s="110" customFormat="1">
      <c r="A245" s="139">
        <f t="shared" ref="A245:I245" si="148">A66</f>
        <v>57</v>
      </c>
      <c r="B245" s="140">
        <f t="shared" si="148"/>
        <v>0</v>
      </c>
      <c r="C245" s="140">
        <f t="shared" si="148"/>
        <v>0</v>
      </c>
      <c r="D245" s="140">
        <f t="shared" si="148"/>
        <v>0</v>
      </c>
      <c r="E245" s="140">
        <f t="shared" si="148"/>
        <v>0</v>
      </c>
      <c r="F245" s="140">
        <f t="shared" si="148"/>
        <v>0</v>
      </c>
      <c r="G245" s="140">
        <f t="shared" si="148"/>
        <v>0</v>
      </c>
      <c r="H245" s="140">
        <f t="shared" si="148"/>
        <v>0</v>
      </c>
      <c r="I245" s="149">
        <f t="shared" si="148"/>
        <v>0</v>
      </c>
      <c r="J245" s="142">
        <f>J66*(1-'Форма ввода'!$C$73/100)</f>
        <v>0</v>
      </c>
      <c r="K245" s="108">
        <f t="shared" si="91"/>
        <v>0</v>
      </c>
      <c r="L245" s="143">
        <f t="shared" si="124"/>
        <v>0</v>
      </c>
      <c r="M245" s="108">
        <f t="shared" si="89"/>
        <v>0</v>
      </c>
      <c r="N245" s="108">
        <f t="shared" si="92"/>
        <v>0</v>
      </c>
      <c r="O245" s="144"/>
      <c r="P245" s="145"/>
    </row>
    <row r="246" spans="1:16" s="110" customFormat="1">
      <c r="A246" s="139">
        <f t="shared" ref="A246:I246" si="149">A67</f>
        <v>58</v>
      </c>
      <c r="B246" s="140">
        <f t="shared" si="149"/>
        <v>0</v>
      </c>
      <c r="C246" s="140">
        <f t="shared" si="149"/>
        <v>0</v>
      </c>
      <c r="D246" s="140">
        <f t="shared" si="149"/>
        <v>0</v>
      </c>
      <c r="E246" s="140">
        <f t="shared" si="149"/>
        <v>0</v>
      </c>
      <c r="F246" s="140">
        <f t="shared" si="149"/>
        <v>0</v>
      </c>
      <c r="G246" s="140">
        <f t="shared" si="149"/>
        <v>0</v>
      </c>
      <c r="H246" s="140">
        <f t="shared" si="149"/>
        <v>0</v>
      </c>
      <c r="I246" s="149">
        <f t="shared" si="149"/>
        <v>0</v>
      </c>
      <c r="J246" s="142">
        <f>J67*(1-'Форма ввода'!$C$73/100)</f>
        <v>0</v>
      </c>
      <c r="K246" s="108">
        <f t="shared" si="91"/>
        <v>0</v>
      </c>
      <c r="L246" s="143">
        <f t="shared" si="124"/>
        <v>0</v>
      </c>
      <c r="M246" s="108">
        <f t="shared" si="89"/>
        <v>0</v>
      </c>
      <c r="N246" s="108">
        <f t="shared" si="92"/>
        <v>0</v>
      </c>
      <c r="O246" s="144"/>
      <c r="P246" s="145"/>
    </row>
    <row r="247" spans="1:16" s="110" customFormat="1">
      <c r="A247" s="139">
        <f t="shared" ref="A247:I247" si="150">A68</f>
        <v>59</v>
      </c>
      <c r="B247" s="140">
        <f t="shared" si="150"/>
        <v>0</v>
      </c>
      <c r="C247" s="140">
        <f t="shared" si="150"/>
        <v>0</v>
      </c>
      <c r="D247" s="140">
        <f t="shared" si="150"/>
        <v>0</v>
      </c>
      <c r="E247" s="140">
        <f t="shared" si="150"/>
        <v>0</v>
      </c>
      <c r="F247" s="140">
        <f t="shared" si="150"/>
        <v>0</v>
      </c>
      <c r="G247" s="140">
        <f t="shared" si="150"/>
        <v>0</v>
      </c>
      <c r="H247" s="140">
        <f t="shared" si="150"/>
        <v>0</v>
      </c>
      <c r="I247" s="149">
        <f t="shared" si="150"/>
        <v>0</v>
      </c>
      <c r="J247" s="142">
        <f>J68*(1-'Форма ввода'!$C$73/100)</f>
        <v>0</v>
      </c>
      <c r="K247" s="108">
        <f t="shared" si="91"/>
        <v>0</v>
      </c>
      <c r="L247" s="143">
        <f t="shared" si="124"/>
        <v>0</v>
      </c>
      <c r="M247" s="108">
        <f t="shared" si="89"/>
        <v>0</v>
      </c>
      <c r="N247" s="108">
        <f t="shared" si="92"/>
        <v>0</v>
      </c>
      <c r="O247" s="144"/>
      <c r="P247" s="145"/>
    </row>
    <row r="248" spans="1:16" s="110" customFormat="1">
      <c r="A248" s="139">
        <f t="shared" ref="A248:I248" si="151">A69</f>
        <v>60</v>
      </c>
      <c r="B248" s="140">
        <f t="shared" si="151"/>
        <v>0</v>
      </c>
      <c r="C248" s="140">
        <f t="shared" si="151"/>
        <v>0</v>
      </c>
      <c r="D248" s="140">
        <f t="shared" si="151"/>
        <v>0</v>
      </c>
      <c r="E248" s="140">
        <f t="shared" si="151"/>
        <v>0</v>
      </c>
      <c r="F248" s="140">
        <f t="shared" si="151"/>
        <v>0</v>
      </c>
      <c r="G248" s="140">
        <f t="shared" si="151"/>
        <v>0</v>
      </c>
      <c r="H248" s="140">
        <f t="shared" si="151"/>
        <v>0</v>
      </c>
      <c r="I248" s="149">
        <f t="shared" si="151"/>
        <v>0</v>
      </c>
      <c r="J248" s="142">
        <f>J69*(1-'Форма ввода'!$C$73/100)</f>
        <v>0</v>
      </c>
      <c r="K248" s="108">
        <f t="shared" si="91"/>
        <v>0</v>
      </c>
      <c r="L248" s="143">
        <f t="shared" si="124"/>
        <v>0</v>
      </c>
      <c r="M248" s="108">
        <f t="shared" si="89"/>
        <v>0</v>
      </c>
      <c r="N248" s="108">
        <f t="shared" si="92"/>
        <v>0</v>
      </c>
      <c r="O248" s="144"/>
      <c r="P248" s="145"/>
    </row>
    <row r="249" spans="1:16" s="110" customFormat="1">
      <c r="A249" s="139">
        <f t="shared" ref="A249:I249" si="152">A70</f>
        <v>61</v>
      </c>
      <c r="B249" s="140">
        <f t="shared" si="152"/>
        <v>0</v>
      </c>
      <c r="C249" s="140">
        <f t="shared" si="152"/>
        <v>0</v>
      </c>
      <c r="D249" s="140">
        <f t="shared" si="152"/>
        <v>0</v>
      </c>
      <c r="E249" s="140">
        <f t="shared" si="152"/>
        <v>0</v>
      </c>
      <c r="F249" s="140">
        <f t="shared" si="152"/>
        <v>0</v>
      </c>
      <c r="G249" s="140">
        <f t="shared" si="152"/>
        <v>0</v>
      </c>
      <c r="H249" s="140">
        <f t="shared" si="152"/>
        <v>0</v>
      </c>
      <c r="I249" s="149">
        <f t="shared" si="152"/>
        <v>0</v>
      </c>
      <c r="J249" s="142">
        <f>J70*(1-'Форма ввода'!$C$73/100)</f>
        <v>0</v>
      </c>
      <c r="K249" s="108">
        <f t="shared" si="91"/>
        <v>0</v>
      </c>
      <c r="L249" s="143">
        <f t="shared" si="124"/>
        <v>0</v>
      </c>
      <c r="M249" s="108">
        <f t="shared" si="89"/>
        <v>0</v>
      </c>
      <c r="N249" s="108">
        <f t="shared" si="92"/>
        <v>0</v>
      </c>
      <c r="O249" s="144"/>
      <c r="P249" s="145"/>
    </row>
    <row r="250" spans="1:16" s="110" customFormat="1">
      <c r="A250" s="139">
        <f t="shared" ref="A250:I250" si="153">A71</f>
        <v>62</v>
      </c>
      <c r="B250" s="140">
        <f t="shared" si="153"/>
        <v>0</v>
      </c>
      <c r="C250" s="140">
        <f t="shared" si="153"/>
        <v>0</v>
      </c>
      <c r="D250" s="140">
        <f t="shared" si="153"/>
        <v>0</v>
      </c>
      <c r="E250" s="140">
        <f t="shared" si="153"/>
        <v>0</v>
      </c>
      <c r="F250" s="140">
        <f t="shared" si="153"/>
        <v>0</v>
      </c>
      <c r="G250" s="140">
        <f t="shared" si="153"/>
        <v>0</v>
      </c>
      <c r="H250" s="140">
        <f t="shared" si="153"/>
        <v>0</v>
      </c>
      <c r="I250" s="149">
        <f t="shared" si="153"/>
        <v>0</v>
      </c>
      <c r="J250" s="142">
        <f>J71*(1-'Форма ввода'!$C$73/100)</f>
        <v>0</v>
      </c>
      <c r="K250" s="108">
        <f t="shared" si="91"/>
        <v>0</v>
      </c>
      <c r="L250" s="143">
        <f t="shared" si="124"/>
        <v>0</v>
      </c>
      <c r="M250" s="108">
        <f t="shared" si="89"/>
        <v>0</v>
      </c>
      <c r="N250" s="108">
        <f t="shared" si="92"/>
        <v>0</v>
      </c>
      <c r="O250" s="144"/>
      <c r="P250" s="145"/>
    </row>
    <row r="251" spans="1:16" s="110" customFormat="1">
      <c r="A251" s="139">
        <f t="shared" ref="A251:I251" si="154">A72</f>
        <v>63</v>
      </c>
      <c r="B251" s="140">
        <f t="shared" si="154"/>
        <v>0</v>
      </c>
      <c r="C251" s="140">
        <f t="shared" si="154"/>
        <v>0</v>
      </c>
      <c r="D251" s="140">
        <f t="shared" si="154"/>
        <v>0</v>
      </c>
      <c r="E251" s="140">
        <f t="shared" si="154"/>
        <v>0</v>
      </c>
      <c r="F251" s="140">
        <f t="shared" si="154"/>
        <v>0</v>
      </c>
      <c r="G251" s="140">
        <f t="shared" si="154"/>
        <v>0</v>
      </c>
      <c r="H251" s="140">
        <f t="shared" si="154"/>
        <v>0</v>
      </c>
      <c r="I251" s="149">
        <f t="shared" si="154"/>
        <v>0</v>
      </c>
      <c r="J251" s="142">
        <f>J72*(1-'Форма ввода'!$C$73/100)</f>
        <v>0</v>
      </c>
      <c r="K251" s="108">
        <f t="shared" si="91"/>
        <v>0</v>
      </c>
      <c r="L251" s="143">
        <f t="shared" si="124"/>
        <v>0</v>
      </c>
      <c r="M251" s="108">
        <f t="shared" si="89"/>
        <v>0</v>
      </c>
      <c r="N251" s="108">
        <f t="shared" si="92"/>
        <v>0</v>
      </c>
      <c r="O251" s="144"/>
      <c r="P251" s="145"/>
    </row>
    <row r="252" spans="1:16" s="110" customFormat="1">
      <c r="A252" s="139">
        <f t="shared" ref="A252:I252" si="155">A73</f>
        <v>64</v>
      </c>
      <c r="B252" s="140">
        <f t="shared" si="155"/>
        <v>0</v>
      </c>
      <c r="C252" s="140">
        <f t="shared" si="155"/>
        <v>0</v>
      </c>
      <c r="D252" s="140">
        <f t="shared" si="155"/>
        <v>0</v>
      </c>
      <c r="E252" s="140">
        <f t="shared" si="155"/>
        <v>0</v>
      </c>
      <c r="F252" s="140">
        <f t="shared" si="155"/>
        <v>0</v>
      </c>
      <c r="G252" s="140">
        <f t="shared" si="155"/>
        <v>0</v>
      </c>
      <c r="H252" s="140">
        <f t="shared" si="155"/>
        <v>0</v>
      </c>
      <c r="I252" s="149">
        <f t="shared" si="155"/>
        <v>0</v>
      </c>
      <c r="J252" s="142">
        <f>J73*(1-'Форма ввода'!$C$73/100)</f>
        <v>0</v>
      </c>
      <c r="K252" s="108">
        <f t="shared" si="91"/>
        <v>0</v>
      </c>
      <c r="L252" s="143">
        <f t="shared" si="124"/>
        <v>0</v>
      </c>
      <c r="M252" s="108">
        <f t="shared" si="89"/>
        <v>0</v>
      </c>
      <c r="N252" s="108">
        <f t="shared" si="92"/>
        <v>0</v>
      </c>
      <c r="O252" s="144"/>
      <c r="P252" s="145"/>
    </row>
    <row r="253" spans="1:16" s="110" customFormat="1">
      <c r="A253" s="139">
        <f t="shared" ref="A253:I253" si="156">A74</f>
        <v>65</v>
      </c>
      <c r="B253" s="140">
        <f t="shared" si="156"/>
        <v>0</v>
      </c>
      <c r="C253" s="140">
        <f t="shared" si="156"/>
        <v>0</v>
      </c>
      <c r="D253" s="140">
        <f t="shared" si="156"/>
        <v>0</v>
      </c>
      <c r="E253" s="140">
        <f t="shared" si="156"/>
        <v>0</v>
      </c>
      <c r="F253" s="140">
        <f t="shared" si="156"/>
        <v>0</v>
      </c>
      <c r="G253" s="140">
        <f t="shared" si="156"/>
        <v>0</v>
      </c>
      <c r="H253" s="140">
        <f t="shared" si="156"/>
        <v>0</v>
      </c>
      <c r="I253" s="149">
        <f t="shared" si="156"/>
        <v>0</v>
      </c>
      <c r="J253" s="142">
        <f>J74*(1-'Форма ввода'!$C$73/100)</f>
        <v>0</v>
      </c>
      <c r="K253" s="108">
        <f t="shared" si="91"/>
        <v>0</v>
      </c>
      <c r="L253" s="143">
        <f t="shared" ref="L253:L258" si="157">L74</f>
        <v>0</v>
      </c>
      <c r="M253" s="108">
        <f t="shared" ref="M253:M258" si="158">IF(L253="Без НДС",0,ROUND(K253*L253,2))</f>
        <v>0</v>
      </c>
      <c r="N253" s="108">
        <f t="shared" si="92"/>
        <v>0</v>
      </c>
      <c r="O253" s="144"/>
      <c r="P253" s="145"/>
    </row>
    <row r="254" spans="1:16" s="110" customFormat="1">
      <c r="A254" s="139">
        <f t="shared" ref="A254:I254" si="159">A75</f>
        <v>66</v>
      </c>
      <c r="B254" s="140">
        <f t="shared" si="159"/>
        <v>0</v>
      </c>
      <c r="C254" s="140">
        <f t="shared" si="159"/>
        <v>0</v>
      </c>
      <c r="D254" s="140">
        <f t="shared" si="159"/>
        <v>0</v>
      </c>
      <c r="E254" s="140">
        <f t="shared" si="159"/>
        <v>0</v>
      </c>
      <c r="F254" s="140">
        <f t="shared" si="159"/>
        <v>0</v>
      </c>
      <c r="G254" s="140">
        <f t="shared" si="159"/>
        <v>0</v>
      </c>
      <c r="H254" s="140">
        <f t="shared" si="159"/>
        <v>0</v>
      </c>
      <c r="I254" s="149">
        <f t="shared" si="159"/>
        <v>0</v>
      </c>
      <c r="J254" s="142">
        <f>J75*(1-'Форма ввода'!$C$73/100)</f>
        <v>0</v>
      </c>
      <c r="K254" s="108">
        <f t="shared" ref="K254:K258" si="160">ROUND(I254*J254,2)</f>
        <v>0</v>
      </c>
      <c r="L254" s="143">
        <f t="shared" si="157"/>
        <v>0</v>
      </c>
      <c r="M254" s="108">
        <f t="shared" si="158"/>
        <v>0</v>
      </c>
      <c r="N254" s="108">
        <f t="shared" ref="N254:N258" si="161">M254+K254</f>
        <v>0</v>
      </c>
      <c r="O254" s="144"/>
      <c r="P254" s="145"/>
    </row>
    <row r="255" spans="1:16" s="110" customFormat="1">
      <c r="A255" s="139">
        <f t="shared" ref="A255:I255" si="162">A76</f>
        <v>67</v>
      </c>
      <c r="B255" s="140">
        <f t="shared" si="162"/>
        <v>0</v>
      </c>
      <c r="C255" s="140">
        <f t="shared" si="162"/>
        <v>0</v>
      </c>
      <c r="D255" s="140">
        <f t="shared" si="162"/>
        <v>0</v>
      </c>
      <c r="E255" s="140">
        <f t="shared" si="162"/>
        <v>0</v>
      </c>
      <c r="F255" s="140">
        <f t="shared" si="162"/>
        <v>0</v>
      </c>
      <c r="G255" s="140">
        <f t="shared" si="162"/>
        <v>0</v>
      </c>
      <c r="H255" s="140">
        <f t="shared" si="162"/>
        <v>0</v>
      </c>
      <c r="I255" s="149">
        <f t="shared" si="162"/>
        <v>0</v>
      </c>
      <c r="J255" s="142">
        <f>J76*(1-'Форма ввода'!$C$73/100)</f>
        <v>0</v>
      </c>
      <c r="K255" s="108">
        <f t="shared" si="160"/>
        <v>0</v>
      </c>
      <c r="L255" s="143">
        <f t="shared" si="157"/>
        <v>0</v>
      </c>
      <c r="M255" s="108">
        <f t="shared" si="158"/>
        <v>0</v>
      </c>
      <c r="N255" s="108">
        <f t="shared" si="161"/>
        <v>0</v>
      </c>
      <c r="O255" s="144"/>
      <c r="P255" s="145"/>
    </row>
    <row r="256" spans="1:16" s="110" customFormat="1">
      <c r="A256" s="139">
        <f t="shared" ref="A256:I256" si="163">A77</f>
        <v>68</v>
      </c>
      <c r="B256" s="140">
        <f t="shared" si="163"/>
        <v>0</v>
      </c>
      <c r="C256" s="140">
        <f t="shared" si="163"/>
        <v>0</v>
      </c>
      <c r="D256" s="140">
        <f t="shared" si="163"/>
        <v>0</v>
      </c>
      <c r="E256" s="140">
        <f t="shared" si="163"/>
        <v>0</v>
      </c>
      <c r="F256" s="140">
        <f t="shared" si="163"/>
        <v>0</v>
      </c>
      <c r="G256" s="140">
        <f t="shared" si="163"/>
        <v>0</v>
      </c>
      <c r="H256" s="140">
        <f t="shared" si="163"/>
        <v>0</v>
      </c>
      <c r="I256" s="149">
        <f t="shared" si="163"/>
        <v>0</v>
      </c>
      <c r="J256" s="142">
        <f>J77*(1-'Форма ввода'!$C$73/100)</f>
        <v>0</v>
      </c>
      <c r="K256" s="108">
        <f t="shared" si="160"/>
        <v>0</v>
      </c>
      <c r="L256" s="143">
        <f t="shared" si="157"/>
        <v>0</v>
      </c>
      <c r="M256" s="108">
        <f t="shared" si="158"/>
        <v>0</v>
      </c>
      <c r="N256" s="108">
        <f t="shared" si="161"/>
        <v>0</v>
      </c>
      <c r="O256" s="144"/>
      <c r="P256" s="145"/>
    </row>
    <row r="257" spans="1:16" s="110" customFormat="1">
      <c r="A257" s="139">
        <f t="shared" ref="A257:I257" si="164">A78</f>
        <v>69</v>
      </c>
      <c r="B257" s="140">
        <f t="shared" si="164"/>
        <v>0</v>
      </c>
      <c r="C257" s="140">
        <f t="shared" si="164"/>
        <v>0</v>
      </c>
      <c r="D257" s="140">
        <f t="shared" si="164"/>
        <v>0</v>
      </c>
      <c r="E257" s="140">
        <f t="shared" si="164"/>
        <v>0</v>
      </c>
      <c r="F257" s="140">
        <f t="shared" si="164"/>
        <v>0</v>
      </c>
      <c r="G257" s="140">
        <f t="shared" si="164"/>
        <v>0</v>
      </c>
      <c r="H257" s="140">
        <f t="shared" si="164"/>
        <v>0</v>
      </c>
      <c r="I257" s="149">
        <f t="shared" si="164"/>
        <v>0</v>
      </c>
      <c r="J257" s="142">
        <f>J78*(1-'Форма ввода'!$C$73/100)</f>
        <v>0</v>
      </c>
      <c r="K257" s="108">
        <f t="shared" si="160"/>
        <v>0</v>
      </c>
      <c r="L257" s="143">
        <f t="shared" si="157"/>
        <v>0</v>
      </c>
      <c r="M257" s="108">
        <f t="shared" si="158"/>
        <v>0</v>
      </c>
      <c r="N257" s="108">
        <f t="shared" si="161"/>
        <v>0</v>
      </c>
      <c r="O257" s="144"/>
      <c r="P257" s="145"/>
    </row>
    <row r="258" spans="1:16" s="110" customFormat="1">
      <c r="A258" s="139">
        <f t="shared" ref="A258:I258" si="165">A79</f>
        <v>70</v>
      </c>
      <c r="B258" s="140">
        <f t="shared" si="165"/>
        <v>0</v>
      </c>
      <c r="C258" s="140">
        <f t="shared" si="165"/>
        <v>0</v>
      </c>
      <c r="D258" s="140">
        <f t="shared" si="165"/>
        <v>0</v>
      </c>
      <c r="E258" s="140">
        <f t="shared" si="165"/>
        <v>0</v>
      </c>
      <c r="F258" s="140">
        <f t="shared" si="165"/>
        <v>0</v>
      </c>
      <c r="G258" s="140">
        <f t="shared" si="165"/>
        <v>0</v>
      </c>
      <c r="H258" s="140">
        <f t="shared" si="165"/>
        <v>0</v>
      </c>
      <c r="I258" s="149">
        <f t="shared" si="165"/>
        <v>0</v>
      </c>
      <c r="J258" s="142">
        <f>J79*(1-'Форма ввода'!$C$73/100)</f>
        <v>0</v>
      </c>
      <c r="K258" s="108">
        <f t="shared" si="160"/>
        <v>0</v>
      </c>
      <c r="L258" s="143">
        <f t="shared" si="157"/>
        <v>0</v>
      </c>
      <c r="M258" s="108">
        <f t="shared" si="158"/>
        <v>0</v>
      </c>
      <c r="N258" s="108">
        <f t="shared" si="161"/>
        <v>0</v>
      </c>
      <c r="O258" s="144"/>
      <c r="P258" s="145"/>
    </row>
    <row r="259" spans="1:16">
      <c r="A259" s="146"/>
      <c r="B259" s="146"/>
      <c r="C259" s="146"/>
      <c r="D259" s="146"/>
      <c r="E259" s="146"/>
      <c r="F259" s="146"/>
      <c r="G259" s="147"/>
      <c r="H259" s="147"/>
      <c r="I259" s="147"/>
      <c r="J259" s="147"/>
      <c r="K259" s="148"/>
      <c r="L259" s="148"/>
      <c r="M259" s="147"/>
      <c r="N259" s="147"/>
      <c r="O259" s="147"/>
      <c r="P259" s="146"/>
    </row>
    <row r="260" spans="1:16" ht="329.25" customHeight="1">
      <c r="A260" s="150" t="s">
        <v>49</v>
      </c>
      <c r="B260" s="332" t="s">
        <v>50</v>
      </c>
      <c r="C260" s="335"/>
      <c r="D260" s="335"/>
      <c r="E260" s="335"/>
      <c r="F260" s="335"/>
      <c r="G260" s="335"/>
      <c r="H260" s="335"/>
      <c r="I260" s="335"/>
      <c r="J260" s="335"/>
      <c r="K260" s="335"/>
      <c r="L260" s="335"/>
      <c r="M260" s="335"/>
      <c r="N260" s="335"/>
      <c r="O260" s="335"/>
      <c r="P260" s="335"/>
    </row>
    <row r="261" spans="1:16">
      <c r="A261" s="103" t="str">
        <f>IF('Форма ввода'!C71="нет","13.","14.")</f>
        <v>14.</v>
      </c>
      <c r="B261" s="327" t="s">
        <v>51</v>
      </c>
      <c r="C261" s="327"/>
      <c r="D261" s="327"/>
      <c r="E261" s="327"/>
      <c r="F261" s="327"/>
      <c r="G261" s="327"/>
      <c r="H261" s="327"/>
      <c r="I261" s="327"/>
      <c r="J261" s="327"/>
      <c r="K261" s="327"/>
      <c r="L261" s="327"/>
      <c r="M261" s="327"/>
      <c r="N261" s="327"/>
      <c r="O261" s="327"/>
      <c r="P261" s="327"/>
    </row>
    <row r="262" spans="1:16" ht="54.75" customHeight="1">
      <c r="A262" s="103"/>
      <c r="B262" s="328" t="str">
        <f>IF('Форма ввода'!D75="+",CONCATENATE("Адрес для направления оригинала  настоящего дополнительного соглашения, подписанного Поставщиком: ",'Форма ввода'!C75)," ")</f>
        <v xml:space="preserve">Адрес для направления оригинала  настоящего дополнительного соглашения, подписанного Поставщиком: </v>
      </c>
      <c r="C262" s="328"/>
      <c r="D262" s="328"/>
      <c r="E262" s="328"/>
      <c r="F262" s="328"/>
      <c r="G262" s="328"/>
      <c r="H262" s="328"/>
      <c r="I262" s="328"/>
      <c r="J262" s="328"/>
      <c r="K262" s="328"/>
      <c r="L262" s="328"/>
      <c r="M262" s="328"/>
      <c r="N262" s="328"/>
      <c r="O262" s="328"/>
      <c r="P262" s="328"/>
    </row>
    <row r="263" spans="1:16" ht="68.25" customHeight="1">
      <c r="A263" s="103"/>
      <c r="B263" s="328" t="str">
        <f>IF('Форма ввода'!D76="+",CONCATENATE("Адрес для направления оригинала  настоящего дополнительного соглашения, подписанного Покупателем: ",'Форма ввода'!C76)," ")</f>
        <v xml:space="preserve">Адрес для направления оригинала  настоящего дополнительного соглашения, подписанного Покупателем: </v>
      </c>
      <c r="C263" s="328"/>
      <c r="D263" s="328"/>
      <c r="E263" s="328"/>
      <c r="F263" s="328"/>
      <c r="G263" s="328"/>
      <c r="H263" s="328"/>
      <c r="I263" s="328"/>
      <c r="J263" s="328"/>
      <c r="K263" s="328"/>
      <c r="L263" s="328"/>
      <c r="M263" s="328"/>
      <c r="N263" s="328"/>
      <c r="O263" s="328"/>
      <c r="P263" s="328"/>
    </row>
    <row r="264" spans="1:16" ht="30.75" customHeight="1">
      <c r="A264" s="103"/>
      <c r="B264" s="328" t="str">
        <f>IF('Форма ввода'!D77="+",'Форма ввода'!C77," ")</f>
        <v xml:space="preserve"> </v>
      </c>
      <c r="C264" s="328"/>
      <c r="D264" s="328"/>
      <c r="E264" s="328"/>
      <c r="F264" s="328"/>
      <c r="G264" s="328"/>
      <c r="H264" s="328"/>
      <c r="I264" s="328"/>
      <c r="J264" s="328"/>
      <c r="K264" s="328"/>
      <c r="L264" s="328"/>
      <c r="M264" s="328"/>
      <c r="N264" s="328"/>
      <c r="O264" s="328"/>
      <c r="P264" s="328"/>
    </row>
    <row r="265" spans="1:16" ht="194.25" customHeight="1">
      <c r="A265" s="103"/>
      <c r="B265" s="328" t="str">
        <f>IF('Форма ввода'!D78="+",'Форма ввода'!C78," ")</f>
        <v xml:space="preserve"> </v>
      </c>
      <c r="C265" s="328"/>
      <c r="D265" s="328"/>
      <c r="E265" s="328"/>
      <c r="F265" s="328"/>
      <c r="G265" s="328"/>
      <c r="H265" s="328"/>
      <c r="I265" s="328"/>
      <c r="J265" s="328"/>
      <c r="K265" s="328"/>
      <c r="L265" s="328"/>
      <c r="M265" s="328"/>
      <c r="N265" s="328"/>
      <c r="O265" s="328"/>
      <c r="P265" s="328"/>
    </row>
    <row r="266" spans="1:16" ht="146.25" customHeight="1">
      <c r="A266" s="103"/>
      <c r="B266" s="328" t="str">
        <f>IF('Форма ввода'!D79="+",'Форма ввода'!C79," ")</f>
        <v xml:space="preserve"> </v>
      </c>
      <c r="C266" s="328"/>
      <c r="D266" s="328"/>
      <c r="E266" s="328"/>
      <c r="F266" s="328"/>
      <c r="G266" s="328"/>
      <c r="H266" s="328"/>
      <c r="I266" s="328"/>
      <c r="J266" s="328"/>
      <c r="K266" s="328"/>
      <c r="L266" s="328"/>
      <c r="M266" s="328"/>
      <c r="N266" s="328"/>
      <c r="O266" s="328"/>
      <c r="P266" s="328"/>
    </row>
    <row r="267" spans="1:16" ht="248.25" customHeight="1">
      <c r="A267" s="103"/>
      <c r="B267" s="328" t="str">
        <f>IF('Форма ввода'!D81="+",'Форма ввода'!C81," ")</f>
        <v xml:space="preserve"> </v>
      </c>
      <c r="C267" s="328"/>
      <c r="D267" s="328"/>
      <c r="E267" s="328"/>
      <c r="F267" s="328"/>
      <c r="G267" s="328"/>
      <c r="H267" s="328"/>
      <c r="I267" s="328"/>
      <c r="J267" s="328"/>
      <c r="K267" s="328"/>
      <c r="L267" s="328"/>
      <c r="M267" s="328"/>
      <c r="N267" s="328"/>
      <c r="O267" s="328"/>
      <c r="P267" s="328"/>
    </row>
    <row r="268" spans="1:16" ht="292.7" customHeight="1">
      <c r="A268" s="103"/>
      <c r="B268" s="328" t="str">
        <f>IF('Форма ввода'!D82="+",'Форма ввода'!C82," ")</f>
        <v xml:space="preserve"> </v>
      </c>
      <c r="C268" s="328"/>
      <c r="D268" s="328"/>
      <c r="E268" s="328"/>
      <c r="F268" s="328"/>
      <c r="G268" s="328"/>
      <c r="H268" s="328"/>
      <c r="I268" s="328"/>
      <c r="J268" s="328"/>
      <c r="K268" s="328"/>
      <c r="L268" s="328"/>
      <c r="M268" s="328"/>
      <c r="N268" s="328"/>
      <c r="O268" s="328"/>
      <c r="P268" s="328"/>
    </row>
    <row r="269" spans="1:16" ht="0.75" hidden="1" customHeight="1">
      <c r="A269" s="103"/>
      <c r="B269" s="328" t="str">
        <f>IF('Форма ввода'!D86="+",'Форма ввода'!C86," ")</f>
        <v xml:space="preserve"> </v>
      </c>
      <c r="C269" s="328"/>
      <c r="D269" s="328"/>
      <c r="E269" s="328"/>
      <c r="F269" s="328"/>
      <c r="G269" s="328"/>
      <c r="H269" s="328"/>
      <c r="I269" s="328"/>
      <c r="J269" s="328"/>
      <c r="K269" s="328"/>
      <c r="L269" s="328"/>
      <c r="M269" s="328"/>
      <c r="N269" s="328"/>
      <c r="O269" s="328"/>
      <c r="P269" s="328"/>
    </row>
    <row r="270" spans="1:16" ht="188.45" customHeight="1">
      <c r="A270" s="103"/>
      <c r="B270" s="328" t="str">
        <f>IF('Форма ввода'!D87="+",'Форма ввода'!C87," ")</f>
        <v xml:space="preserve"> </v>
      </c>
      <c r="C270" s="328"/>
      <c r="D270" s="328"/>
      <c r="E270" s="328"/>
      <c r="F270" s="328"/>
      <c r="G270" s="328"/>
      <c r="H270" s="328"/>
      <c r="I270" s="328"/>
      <c r="J270" s="328"/>
      <c r="K270" s="328"/>
      <c r="L270" s="328"/>
      <c r="M270" s="328"/>
      <c r="N270" s="328"/>
      <c r="O270" s="328"/>
      <c r="P270" s="328"/>
    </row>
    <row r="271" spans="1:16" ht="153.75" customHeight="1">
      <c r="A271" s="103"/>
      <c r="B271" s="328"/>
      <c r="C271" s="328"/>
      <c r="D271" s="328"/>
      <c r="E271" s="328"/>
      <c r="F271" s="328"/>
      <c r="G271" s="328"/>
      <c r="H271" s="328"/>
      <c r="I271" s="328"/>
      <c r="J271" s="328"/>
      <c r="K271" s="328"/>
      <c r="L271" s="328"/>
      <c r="M271" s="328"/>
      <c r="N271" s="328"/>
      <c r="O271" s="328"/>
      <c r="P271" s="328"/>
    </row>
    <row r="272" spans="1:16" ht="140.25" customHeight="1">
      <c r="A272" s="103"/>
      <c r="B272" s="328" t="str">
        <f>IF('Форма ввода'!D90="+",'Форма ввода'!C90," ")</f>
        <v xml:space="preserve"> </v>
      </c>
      <c r="C272" s="328"/>
      <c r="D272" s="328"/>
      <c r="E272" s="328"/>
      <c r="F272" s="328"/>
      <c r="G272" s="328"/>
      <c r="H272" s="328"/>
      <c r="I272" s="328"/>
      <c r="J272" s="328"/>
      <c r="K272" s="328"/>
      <c r="L272" s="328"/>
      <c r="M272" s="328"/>
      <c r="N272" s="328"/>
      <c r="O272" s="328"/>
      <c r="P272" s="328"/>
    </row>
    <row r="273" spans="1:17" ht="51.75" customHeight="1">
      <c r="A273" s="103"/>
      <c r="B273" s="328" t="str">
        <f>IF('Форма ввода'!D91="+",'Форма ввода'!C91," ")</f>
        <v xml:space="preserve"> </v>
      </c>
      <c r="C273" s="328"/>
      <c r="D273" s="328"/>
      <c r="E273" s="328"/>
      <c r="F273" s="328"/>
      <c r="G273" s="328"/>
      <c r="H273" s="328"/>
      <c r="I273" s="328"/>
      <c r="J273" s="328"/>
      <c r="K273" s="328"/>
      <c r="L273" s="328"/>
      <c r="M273" s="328"/>
      <c r="N273" s="328"/>
      <c r="O273" s="328"/>
      <c r="P273" s="328"/>
    </row>
    <row r="274" spans="1:17" ht="144.75" customHeight="1">
      <c r="A274" s="103"/>
      <c r="B274" s="328" t="str">
        <f>IF('Форма ввода'!D92="+",'Форма ввода'!C92," ")</f>
        <v xml:space="preserve"> </v>
      </c>
      <c r="C274" s="328"/>
      <c r="D274" s="328"/>
      <c r="E274" s="328"/>
      <c r="F274" s="328"/>
      <c r="G274" s="328"/>
      <c r="H274" s="328"/>
      <c r="I274" s="328"/>
      <c r="J274" s="328"/>
      <c r="K274" s="328"/>
      <c r="L274" s="328"/>
      <c r="M274" s="328"/>
      <c r="N274" s="328"/>
      <c r="O274" s="328"/>
      <c r="P274" s="328"/>
    </row>
    <row r="275" spans="1:17" ht="29.25" customHeight="1">
      <c r="A275" s="103"/>
      <c r="B275" s="328" t="str">
        <f>IF('Форма ввода'!D93="+",'Форма ввода'!C93," ")</f>
        <v xml:space="preserve"> </v>
      </c>
      <c r="C275" s="328"/>
      <c r="D275" s="328"/>
      <c r="E275" s="328"/>
      <c r="F275" s="328"/>
      <c r="G275" s="328"/>
      <c r="H275" s="328"/>
      <c r="I275" s="328"/>
      <c r="J275" s="328"/>
      <c r="K275" s="328"/>
      <c r="L275" s="328"/>
      <c r="M275" s="328"/>
      <c r="N275" s="328"/>
      <c r="O275" s="328"/>
      <c r="P275" s="328"/>
    </row>
    <row r="276" spans="1:17" ht="83.25" customHeight="1">
      <c r="A276" s="103"/>
      <c r="B276" s="328" t="str">
        <f>IF('Форма ввода'!D94="+",'Форма ввода'!C94," ")</f>
        <v xml:space="preserve"> </v>
      </c>
      <c r="C276" s="328"/>
      <c r="D276" s="328"/>
      <c r="E276" s="328"/>
      <c r="F276" s="328"/>
      <c r="G276" s="328"/>
      <c r="H276" s="328"/>
      <c r="I276" s="328"/>
      <c r="J276" s="328"/>
      <c r="K276" s="328"/>
      <c r="L276" s="328"/>
      <c r="M276" s="328"/>
      <c r="N276" s="328"/>
      <c r="O276" s="328"/>
      <c r="P276" s="328"/>
    </row>
    <row r="277" spans="1:17" ht="204" customHeight="1">
      <c r="B277" s="328" t="s">
        <v>52</v>
      </c>
      <c r="C277" s="328"/>
      <c r="D277" s="328"/>
      <c r="E277" s="328"/>
      <c r="F277" s="328"/>
      <c r="G277" s="328"/>
      <c r="H277" s="328"/>
      <c r="I277" s="328"/>
      <c r="J277" s="328"/>
      <c r="K277" s="328"/>
      <c r="L277" s="328"/>
      <c r="M277" s="328"/>
      <c r="N277" s="328"/>
      <c r="O277" s="328"/>
      <c r="P277" s="328"/>
    </row>
    <row r="278" spans="1:17" ht="42" customHeight="1">
      <c r="B278" s="328" t="s">
        <v>53</v>
      </c>
      <c r="C278" s="328"/>
      <c r="D278" s="328"/>
      <c r="E278" s="328"/>
      <c r="F278" s="328"/>
      <c r="G278" s="328"/>
      <c r="H278" s="328"/>
      <c r="I278" s="328"/>
      <c r="J278" s="328"/>
      <c r="K278" s="328"/>
      <c r="L278" s="328"/>
      <c r="M278" s="328"/>
      <c r="N278" s="328"/>
      <c r="O278" s="328"/>
      <c r="P278" s="328"/>
    </row>
    <row r="279" spans="1:17" ht="185.25" customHeight="1">
      <c r="A279" s="103"/>
      <c r="B279" s="328" t="s">
        <v>54</v>
      </c>
      <c r="C279" s="328"/>
      <c r="D279" s="328"/>
      <c r="E279" s="328"/>
      <c r="F279" s="328"/>
      <c r="G279" s="328"/>
      <c r="H279" s="328"/>
      <c r="I279" s="328"/>
      <c r="J279" s="328"/>
      <c r="K279" s="328"/>
      <c r="L279" s="328"/>
      <c r="M279" s="328"/>
      <c r="N279" s="328"/>
      <c r="O279" s="328"/>
      <c r="P279" s="328"/>
    </row>
    <row r="280" spans="1:17" ht="83.25" customHeight="1">
      <c r="A280" s="103"/>
      <c r="B280" s="151" t="s">
        <v>55</v>
      </c>
      <c r="C280" s="151" t="s">
        <v>56</v>
      </c>
      <c r="D280" s="151" t="s">
        <v>57</v>
      </c>
      <c r="E280" s="336" t="s">
        <v>58</v>
      </c>
      <c r="F280" s="337"/>
      <c r="G280" s="337"/>
      <c r="H280" s="337"/>
      <c r="I280" s="337"/>
      <c r="J280" s="337"/>
      <c r="K280" s="338"/>
      <c r="L280" s="132"/>
      <c r="M280" s="132"/>
      <c r="N280" s="132"/>
      <c r="O280" s="132"/>
      <c r="P280" s="132"/>
    </row>
    <row r="281" spans="1:17" ht="102.2" customHeight="1">
      <c r="A281" s="103"/>
      <c r="B281" s="152" t="s">
        <v>59</v>
      </c>
      <c r="C281" s="152" t="s">
        <v>60</v>
      </c>
      <c r="D281" s="152" t="s">
        <v>61</v>
      </c>
      <c r="E281" s="339" t="s">
        <v>62</v>
      </c>
      <c r="F281" s="340"/>
      <c r="G281" s="340"/>
      <c r="H281" s="340"/>
      <c r="I281" s="340"/>
      <c r="J281" s="340"/>
      <c r="K281" s="341"/>
      <c r="L281" s="132"/>
      <c r="M281" s="132"/>
      <c r="N281" s="132"/>
      <c r="O281" s="132"/>
      <c r="P281" s="132"/>
    </row>
    <row r="282" spans="1:17" ht="143.44999999999999" customHeight="1">
      <c r="A282" s="103"/>
      <c r="B282" s="153" t="s">
        <v>63</v>
      </c>
      <c r="C282" s="152" t="s">
        <v>60</v>
      </c>
      <c r="D282" s="152" t="s">
        <v>61</v>
      </c>
      <c r="E282" s="339" t="s">
        <v>64</v>
      </c>
      <c r="F282" s="340"/>
      <c r="G282" s="340"/>
      <c r="H282" s="340"/>
      <c r="I282" s="340"/>
      <c r="J282" s="340"/>
      <c r="K282" s="341"/>
      <c r="L282" s="132"/>
      <c r="M282" s="132"/>
      <c r="N282" s="132"/>
      <c r="O282" s="132"/>
      <c r="P282" s="132"/>
    </row>
    <row r="283" spans="1:17" ht="143.44999999999999" customHeight="1">
      <c r="A283" s="103"/>
      <c r="B283" s="342" t="s">
        <v>65</v>
      </c>
      <c r="C283" s="343"/>
      <c r="D283" s="343"/>
      <c r="E283" s="343"/>
      <c r="F283" s="343"/>
      <c r="G283" s="343"/>
      <c r="H283" s="343"/>
      <c r="I283" s="343"/>
      <c r="J283" s="343"/>
      <c r="K283" s="344"/>
      <c r="L283" s="132"/>
      <c r="M283" s="132"/>
      <c r="N283" s="132"/>
      <c r="O283" s="132"/>
      <c r="P283" s="132"/>
    </row>
    <row r="284" spans="1:17" ht="151.5" customHeight="1">
      <c r="A284" s="103"/>
      <c r="B284" s="328" t="s">
        <v>66</v>
      </c>
      <c r="C284" s="328"/>
      <c r="D284" s="328"/>
      <c r="E284" s="328"/>
      <c r="F284" s="328"/>
      <c r="G284" s="328"/>
      <c r="H284" s="328"/>
      <c r="I284" s="328"/>
      <c r="J284" s="328"/>
      <c r="K284" s="328"/>
      <c r="L284" s="328"/>
      <c r="M284" s="328"/>
      <c r="N284" s="328"/>
      <c r="O284" s="328"/>
      <c r="P284" s="328"/>
    </row>
    <row r="285" spans="1:17" ht="84.2" customHeight="1">
      <c r="A285" s="103" t="str">
        <f>IF('Форма ввода'!C71="нет","14.","15.")</f>
        <v>15.</v>
      </c>
      <c r="B285" s="332" t="str">
        <f>CONCATENATE("Во всем остальном, что не предусмотрено настоящим дополнительным соглашением, действуют условия Договора поставки №",'Форма ввода'!C4," от ",TEXT(DAY('Форма ввода'!C5),"00")&amp;" "&amp;VLOOKUP(MONTH('Форма ввода'!C5),Справочник!$D$2:$E$13,2,0)&amp;" "&amp;YEAR('Форма ввода'!C5)&amp;" г.")</f>
        <v>Во всем остальном, что не предусмотрено настоящим дополнительным соглашением, действуют условия Договора поставки № от 00 января 1900 г.</v>
      </c>
      <c r="C285" s="332"/>
      <c r="D285" s="332"/>
      <c r="E285" s="332"/>
      <c r="F285" s="332"/>
      <c r="G285" s="332"/>
      <c r="H285" s="332"/>
      <c r="I285" s="332"/>
      <c r="J285" s="332"/>
      <c r="K285" s="332"/>
      <c r="L285" s="332"/>
      <c r="M285" s="332"/>
      <c r="N285" s="332"/>
      <c r="O285" s="332"/>
      <c r="P285" s="332"/>
    </row>
    <row r="286" spans="1:17" ht="150.75" customHeight="1">
      <c r="A286" s="103" t="str">
        <f>IF('Форма ввода'!C96="нет","",IF('Форма ввода'!C71="нет","15.","16."))</f>
        <v/>
      </c>
      <c r="B286" s="332" t="str">
        <f>IF('Форма ввода'!C96="нет","",CONCATENATE("Перечень Приложений к настоящему Дополнительному Соглашению:
",'Форма ввода'!C97))</f>
        <v/>
      </c>
      <c r="C286" s="332"/>
      <c r="D286" s="332"/>
      <c r="E286" s="332"/>
      <c r="F286" s="332"/>
      <c r="G286" s="332"/>
      <c r="H286" s="332"/>
      <c r="I286" s="332"/>
      <c r="J286" s="332"/>
      <c r="K286" s="332"/>
      <c r="L286" s="332"/>
      <c r="M286" s="332"/>
      <c r="N286" s="332"/>
      <c r="O286" s="332"/>
      <c r="P286" s="332"/>
      <c r="Q286" s="132"/>
    </row>
    <row r="287" spans="1:17" ht="118.5" customHeight="1">
      <c r="A287" s="103"/>
      <c r="B287" s="332" t="s">
        <v>67</v>
      </c>
      <c r="C287" s="332"/>
      <c r="D287" s="332"/>
      <c r="E287" s="332"/>
      <c r="F287" s="332"/>
      <c r="G287" s="332"/>
      <c r="H287" s="332"/>
      <c r="I287" s="332"/>
      <c r="J287" s="332"/>
      <c r="K287" s="332"/>
      <c r="L287" s="332"/>
      <c r="M287" s="332"/>
      <c r="N287" s="332"/>
      <c r="O287" s="332"/>
      <c r="P287" s="332"/>
    </row>
    <row r="288" spans="1:17">
      <c r="A288" s="348" t="str">
        <f>IF(AND('Форма ввода'!C71="нет",'Форма ввода'!C96="нет"),"15. Подписи Сторон",IF(OR('Форма ввода'!C71="нет",'Форма ввода'!C96="нет"),"16. Подписи Сторон","17. Подписи Сторон"))</f>
        <v>16. Подписи Сторон</v>
      </c>
      <c r="B288" s="348"/>
      <c r="C288" s="348"/>
      <c r="D288" s="348"/>
      <c r="E288" s="348"/>
      <c r="F288" s="348"/>
      <c r="G288" s="348"/>
      <c r="H288" s="348"/>
      <c r="I288" s="348"/>
      <c r="J288" s="348"/>
      <c r="K288" s="348"/>
      <c r="L288" s="348"/>
      <c r="M288" s="348"/>
      <c r="N288" s="348"/>
      <c r="O288" s="348"/>
      <c r="P288" s="348"/>
    </row>
    <row r="289" spans="2:16">
      <c r="B289" s="96"/>
      <c r="C289" s="96"/>
      <c r="D289" s="96"/>
      <c r="E289" s="96"/>
      <c r="F289" s="96"/>
      <c r="G289" s="154"/>
      <c r="H289" s="154"/>
      <c r="I289" s="154"/>
      <c r="J289" s="154"/>
      <c r="K289" s="154"/>
      <c r="L289" s="154"/>
      <c r="M289" s="154"/>
      <c r="N289" s="154"/>
      <c r="O289" s="154"/>
      <c r="P289" s="154"/>
    </row>
    <row r="290" spans="2:16">
      <c r="B290" s="345" t="s">
        <v>68</v>
      </c>
      <c r="C290" s="346"/>
      <c r="D290" s="346"/>
      <c r="E290" s="346"/>
      <c r="F290" s="347"/>
      <c r="G290" s="345" t="s">
        <v>69</v>
      </c>
      <c r="H290" s="346"/>
      <c r="I290" s="346"/>
      <c r="J290" s="346"/>
      <c r="K290" s="346"/>
      <c r="L290" s="346"/>
      <c r="M290" s="346"/>
      <c r="N290" s="346"/>
      <c r="O290" s="346"/>
      <c r="P290" s="347"/>
    </row>
    <row r="291" spans="2:16">
      <c r="B291" s="352">
        <f>'Форма ввода'!C13</f>
        <v>0</v>
      </c>
      <c r="C291" s="352"/>
      <c r="D291" s="352"/>
      <c r="E291" s="352"/>
      <c r="F291" s="352"/>
      <c r="G291" s="353" t="str">
        <f>VLOOKUP('Форма ввода'!C11,Справочник!A2:C42,2,)</f>
        <v>(Выпадающий список)</v>
      </c>
      <c r="H291" s="354"/>
      <c r="I291" s="354"/>
      <c r="J291" s="354"/>
      <c r="K291" s="354"/>
      <c r="L291" s="354"/>
      <c r="M291" s="354"/>
      <c r="N291" s="354"/>
      <c r="O291" s="354"/>
      <c r="P291" s="355"/>
    </row>
    <row r="292" spans="2:16">
      <c r="B292" s="349" t="str">
        <f>CONCATENATE("ИНН ",'Форма ввода'!C102)</f>
        <v xml:space="preserve">ИНН </v>
      </c>
      <c r="C292" s="350"/>
      <c r="D292" s="350"/>
      <c r="E292" s="350"/>
      <c r="F292" s="351"/>
      <c r="G292" s="155"/>
      <c r="H292" s="350" t="str">
        <f>CONCATENATE("ИНН ",'Форма ввода'!C114)</f>
        <v xml:space="preserve">ИНН </v>
      </c>
      <c r="I292" s="350"/>
      <c r="J292" s="350"/>
      <c r="K292" s="350"/>
      <c r="L292" s="350"/>
      <c r="M292" s="350"/>
      <c r="N292" s="350"/>
      <c r="O292" s="350"/>
      <c r="P292" s="156"/>
    </row>
    <row r="293" spans="2:16">
      <c r="B293" s="349" t="str">
        <f>CONCATENATE("КПП ",'Форма ввода'!C103)</f>
        <v xml:space="preserve">КПП </v>
      </c>
      <c r="C293" s="350"/>
      <c r="D293" s="350"/>
      <c r="E293" s="350"/>
      <c r="F293" s="351"/>
      <c r="G293" s="155"/>
      <c r="H293" s="350" t="str">
        <f>CONCATENATE("КПП ",'Форма ввода'!C115)</f>
        <v xml:space="preserve">КПП </v>
      </c>
      <c r="I293" s="350"/>
      <c r="J293" s="350"/>
      <c r="K293" s="350"/>
      <c r="L293" s="350"/>
      <c r="M293" s="350"/>
      <c r="N293" s="350"/>
      <c r="O293" s="350"/>
      <c r="P293" s="156"/>
    </row>
    <row r="294" spans="2:16">
      <c r="B294" s="315" t="str">
        <f>CONCATENATE("ОГРН ",'Форма ввода'!C108)</f>
        <v xml:space="preserve">ОГРН </v>
      </c>
      <c r="C294" s="316"/>
      <c r="D294" s="316"/>
      <c r="E294" s="316"/>
      <c r="F294" s="317"/>
      <c r="G294" s="155"/>
      <c r="H294" s="316" t="str">
        <f>CONCATENATE("ОГРН ",'Форма ввода'!C120)</f>
        <v xml:space="preserve">ОГРН </v>
      </c>
      <c r="I294" s="316"/>
      <c r="J294" s="316"/>
      <c r="K294" s="316"/>
      <c r="L294" s="316"/>
      <c r="M294" s="316"/>
      <c r="N294" s="316"/>
      <c r="O294" s="316"/>
      <c r="P294" s="156"/>
    </row>
    <row r="295" spans="2:16" s="102" customFormat="1">
      <c r="B295" s="357" t="s">
        <v>70</v>
      </c>
      <c r="C295" s="356"/>
      <c r="D295" s="356"/>
      <c r="E295" s="356"/>
      <c r="F295" s="358"/>
      <c r="G295" s="155"/>
      <c r="H295" s="356" t="s">
        <v>70</v>
      </c>
      <c r="I295" s="356"/>
      <c r="J295" s="356"/>
      <c r="K295" s="356"/>
      <c r="L295" s="356"/>
      <c r="M295" s="356"/>
      <c r="N295" s="356"/>
      <c r="O295" s="356"/>
      <c r="P295" s="157"/>
    </row>
    <row r="296" spans="2:16" s="129" customFormat="1" ht="53.45" customHeight="1">
      <c r="B296" s="359" t="str">
        <f>CONCATENATE("Наименование банка: ",'Форма ввода'!C104)</f>
        <v xml:space="preserve">Наименование банка: </v>
      </c>
      <c r="C296" s="328"/>
      <c r="D296" s="328"/>
      <c r="E296" s="328"/>
      <c r="F296" s="360"/>
      <c r="G296" s="158"/>
      <c r="H296" s="328" t="str">
        <f>CONCATENATE("Наименование банка: ",'Форма ввода'!C116)</f>
        <v xml:space="preserve">Наименование банка: </v>
      </c>
      <c r="I296" s="328"/>
      <c r="J296" s="328"/>
      <c r="K296" s="328"/>
      <c r="L296" s="328"/>
      <c r="M296" s="328"/>
      <c r="N296" s="328"/>
      <c r="O296" s="328"/>
      <c r="P296" s="156"/>
    </row>
    <row r="297" spans="2:16">
      <c r="B297" s="349" t="str">
        <f>CONCATENATE("р/счет: ",'Форма ввода'!C105)</f>
        <v xml:space="preserve">р/счет: </v>
      </c>
      <c r="C297" s="350"/>
      <c r="D297" s="350"/>
      <c r="E297" s="350"/>
      <c r="F297" s="351"/>
      <c r="G297" s="155"/>
      <c r="H297" s="350" t="str">
        <f>CONCATENATE("р/счет: ",'Форма ввода'!C117)</f>
        <v xml:space="preserve">р/счет: </v>
      </c>
      <c r="I297" s="350"/>
      <c r="J297" s="350"/>
      <c r="K297" s="350"/>
      <c r="L297" s="350"/>
      <c r="M297" s="350"/>
      <c r="N297" s="350"/>
      <c r="O297" s="350"/>
      <c r="P297" s="156"/>
    </row>
    <row r="298" spans="2:16">
      <c r="B298" s="349" t="str">
        <f>CONCATENATE("БИК: ",'Форма ввода'!C106)</f>
        <v xml:space="preserve">БИК: </v>
      </c>
      <c r="C298" s="350"/>
      <c r="D298" s="350"/>
      <c r="E298" s="350"/>
      <c r="F298" s="351"/>
      <c r="G298" s="155"/>
      <c r="H298" s="350" t="str">
        <f>CONCATENATE("БИК: ",'Форма ввода'!C118)</f>
        <v xml:space="preserve">БИК: </v>
      </c>
      <c r="I298" s="350"/>
      <c r="J298" s="350"/>
      <c r="K298" s="350"/>
      <c r="L298" s="350"/>
      <c r="M298" s="350"/>
      <c r="N298" s="350"/>
      <c r="O298" s="350"/>
      <c r="P298" s="156"/>
    </row>
    <row r="299" spans="2:16">
      <c r="B299" s="349" t="str">
        <f>CONCATENATE("к/счет: ",'Форма ввода'!C107)</f>
        <v xml:space="preserve">к/счет: </v>
      </c>
      <c r="C299" s="350"/>
      <c r="D299" s="350"/>
      <c r="E299" s="350"/>
      <c r="F299" s="351"/>
      <c r="G299" s="155"/>
      <c r="H299" s="350" t="str">
        <f>CONCATENATE("к/счет: ",'Форма ввода'!C119)</f>
        <v xml:space="preserve">к/счет: </v>
      </c>
      <c r="I299" s="350"/>
      <c r="J299" s="350"/>
      <c r="K299" s="350"/>
      <c r="L299" s="350"/>
      <c r="M299" s="350"/>
      <c r="N299" s="350"/>
      <c r="O299" s="350"/>
      <c r="P299" s="156"/>
    </row>
    <row r="300" spans="2:16" ht="23.25" customHeight="1">
      <c r="B300" s="361" t="str">
        <f>CONCATENATE("__________________ / ",'Форма ввода'!C109," /")</f>
        <v>__________________ /  /</v>
      </c>
      <c r="C300" s="362"/>
      <c r="D300" s="362"/>
      <c r="E300" s="362"/>
      <c r="F300" s="363"/>
      <c r="G300" s="159"/>
      <c r="H300" s="362" t="str">
        <f>IF('Форма ввода'!C122="Альтернативное подписание","___________________/___________________________/",CONCATENATE("___________________ / ",'Форма ввода'!C121," /"))</f>
        <v>___________________ /  /</v>
      </c>
      <c r="I300" s="362"/>
      <c r="J300" s="362"/>
      <c r="K300" s="362"/>
      <c r="L300" s="362"/>
      <c r="M300" s="362"/>
      <c r="N300" s="362"/>
      <c r="O300" s="362"/>
      <c r="P300" s="363"/>
    </row>
    <row r="301" spans="2:16" ht="71.45" customHeight="1">
      <c r="B301" s="364" t="str">
        <f>IFERROR(IF('Форма ввода'!C110="ИП","",
IF('Форма ввода'!C110="Договора управления",
CONCATENATE("на основании Договора управления № ",'Форма ввода'!C111," 
от ",TEXT(DAY('Форма ввода'!$C$112),"00")&amp;" "&amp;VLOOKUP(MONTH('Форма ввода'!$C$112),Справочник!$D$2:$E$13,2,0)&amp;" "&amp;YEAR('Форма ввода'!$C$112)&amp;" г. и устава."),
IF('Форма ввода'!C110="Устава",
CONCATENATE("на основании ",'Форма ввода'!C110,"."),
CONCATENATE("на основании ",'Форма ввода'!C110," № ",'Форма ввода'!C111," от ",TEXT(DAY('Форма ввода'!$C$112),"00")&amp;" "&amp;VLOOKUP(MONTH('Форма ввода'!$C$112),Справочник!$D$2:$E$13,2,0)&amp;" "&amp;YEAR('Форма ввода'!$C$112)&amp;" г.")))), "Дату на форме ввода необходимо вводить в формате ДД.ММ.ГГГГ")</f>
        <v>на основании (Выпадающий список) №  от 00 января 1900 г.</v>
      </c>
      <c r="C301" s="365"/>
      <c r="D301" s="365"/>
      <c r="E301" s="365"/>
      <c r="F301" s="366"/>
      <c r="G301" s="160"/>
      <c r="H301" s="367" t="str">
        <f>IFERROR(IF('Форма ввода'!C122="Устава",
CONCATENATE("на основании ",'Форма ввода'!C122,"."),IF('Форма ввода'!C122="Альтернативное подписание"," ",
CONCATENATE("на основании ",'Форма ввода'!C122," № ",'Форма ввода'!C123," от ",TEXT(DAY('Форма ввода'!$C$124),"00")&amp;" "&amp;VLOOKUP(MONTH('Форма ввода'!$C$124),Справочник!$D$2:$E$13,2,0)&amp;" "&amp;YEAR('Форма ввода'!$C$124)&amp;" г."))), "Дату на форме ввода необходимо вводить в формате ДД.ММ.ГГГГ")</f>
        <v>на основании (Выпадающий список) №  от 00 января 1900 г.</v>
      </c>
      <c r="I301" s="367"/>
      <c r="J301" s="367"/>
      <c r="K301" s="367"/>
      <c r="L301" s="367"/>
      <c r="M301" s="367"/>
      <c r="N301" s="367"/>
      <c r="O301" s="367"/>
      <c r="P301" s="368"/>
    </row>
    <row r="302" spans="2:16">
      <c r="B302" s="161"/>
      <c r="C302" s="138" t="s">
        <v>71</v>
      </c>
      <c r="D302" s="138"/>
      <c r="E302" s="138"/>
      <c r="F302" s="138"/>
      <c r="G302" s="138"/>
      <c r="H302" s="162"/>
      <c r="I302" s="138"/>
      <c r="J302" s="138"/>
      <c r="K302" s="138"/>
      <c r="L302" s="138"/>
    </row>
    <row r="303" spans="2:16">
      <c r="B303" s="161"/>
      <c r="K303" s="138"/>
      <c r="L303" s="138"/>
    </row>
  </sheetData>
  <sheetProtection algorithmName="SHA-512" hashValue="EYSsjkfv3VVSbqgd2g6e/nob01fkGBEAzav3ZM7+LWaZswWNqEUBgAlXfPH8jBQP+iMNomSlcBws74GiykxgHA==" saltValue="8Wseu6D+CZFyUc/8JH9Olg==" spinCount="100000" sheet="1" formatCells="0" formatColumns="0" formatRows="0" insertRows="0" deleteRows="0" sort="0" autoFilter="0"/>
  <autoFilter ref="A9:P9" xr:uid="{00000000-0009-0000-0000-000000000000}"/>
  <dataConsolidate/>
  <mergeCells count="86">
    <mergeCell ref="B85:P85"/>
    <mergeCell ref="C93:P93"/>
    <mergeCell ref="B7:P7"/>
    <mergeCell ref="M4:P4"/>
    <mergeCell ref="A5:P5"/>
    <mergeCell ref="A6:P6"/>
    <mergeCell ref="B8:P8"/>
    <mergeCell ref="B89:P89"/>
    <mergeCell ref="B90:P90"/>
    <mergeCell ref="B91:P91"/>
    <mergeCell ref="A1:B1"/>
    <mergeCell ref="B110:P110"/>
    <mergeCell ref="B107:P107"/>
    <mergeCell ref="B108:P108"/>
    <mergeCell ref="B103:P103"/>
    <mergeCell ref="B105:P105"/>
    <mergeCell ref="B106:P106"/>
    <mergeCell ref="B109:P109"/>
    <mergeCell ref="B102:P102"/>
    <mergeCell ref="B104:P104"/>
    <mergeCell ref="B87:P87"/>
    <mergeCell ref="B83:P83"/>
    <mergeCell ref="B92:P92"/>
    <mergeCell ref="K1:P1"/>
    <mergeCell ref="K2:P2"/>
    <mergeCell ref="B101:P101"/>
    <mergeCell ref="B300:F300"/>
    <mergeCell ref="B301:F301"/>
    <mergeCell ref="H299:O299"/>
    <mergeCell ref="B299:F299"/>
    <mergeCell ref="H300:P300"/>
    <mergeCell ref="H301:P301"/>
    <mergeCell ref="B298:F298"/>
    <mergeCell ref="B292:F292"/>
    <mergeCell ref="B291:F291"/>
    <mergeCell ref="G291:P291"/>
    <mergeCell ref="H293:O293"/>
    <mergeCell ref="H295:O295"/>
    <mergeCell ref="H296:O296"/>
    <mergeCell ref="H297:O297"/>
    <mergeCell ref="H298:O298"/>
    <mergeCell ref="H292:O292"/>
    <mergeCell ref="B293:F293"/>
    <mergeCell ref="B295:F295"/>
    <mergeCell ref="B296:F296"/>
    <mergeCell ref="B297:F297"/>
    <mergeCell ref="B290:F290"/>
    <mergeCell ref="G290:P290"/>
    <mergeCell ref="B261:P261"/>
    <mergeCell ref="B262:P262"/>
    <mergeCell ref="B264:P264"/>
    <mergeCell ref="B266:P266"/>
    <mergeCell ref="B268:P268"/>
    <mergeCell ref="B270:P270"/>
    <mergeCell ref="B271:P271"/>
    <mergeCell ref="B285:P285"/>
    <mergeCell ref="A288:P288"/>
    <mergeCell ref="B267:P267"/>
    <mergeCell ref="B269:P269"/>
    <mergeCell ref="B265:P265"/>
    <mergeCell ref="B276:P276"/>
    <mergeCell ref="B263:P263"/>
    <mergeCell ref="B287:P287"/>
    <mergeCell ref="B272:P272"/>
    <mergeCell ref="B273:P273"/>
    <mergeCell ref="B274:P274"/>
    <mergeCell ref="B260:P260"/>
    <mergeCell ref="B286:P286"/>
    <mergeCell ref="B275:P275"/>
    <mergeCell ref="B284:P284"/>
    <mergeCell ref="E280:K280"/>
    <mergeCell ref="E281:K281"/>
    <mergeCell ref="E282:K282"/>
    <mergeCell ref="B277:P277"/>
    <mergeCell ref="B283:K283"/>
    <mergeCell ref="B278:P278"/>
    <mergeCell ref="B279:P279"/>
    <mergeCell ref="B114:P114"/>
    <mergeCell ref="B95:P95"/>
    <mergeCell ref="B96:P96"/>
    <mergeCell ref="B97:P97"/>
    <mergeCell ref="B187:P187"/>
    <mergeCell ref="B111:P111"/>
    <mergeCell ref="B112:P112"/>
    <mergeCell ref="B113:P113"/>
    <mergeCell ref="B99:P99"/>
  </mergeCells>
  <conditionalFormatting sqref="B10:F79">
    <cfRule type="expression" dxfId="30" priority="6" stopIfTrue="1">
      <formula>$B10=1</formula>
    </cfRule>
    <cfRule type="expression" dxfId="29" priority="7" stopIfTrue="1">
      <formula>$B10=2</formula>
    </cfRule>
  </conditionalFormatting>
  <conditionalFormatting sqref="B113:P113">
    <cfRule type="cellIs" dxfId="28" priority="5" operator="equal">
      <formula>"Скройте пункт 13, 13.1, 13.2, 13.3."</formula>
    </cfRule>
  </conditionalFormatting>
  <conditionalFormatting sqref="Q89:Q92 A89:B92 A285:Q286 L280:Q283 B277:B279 A279:A283 Q277:Q279 A284:B284 Q284 A288:Q301 A287:B287 Q287 A93:Q98 A1:Q88 A101:Q276 C100:Q100 A99:B99 Q99">
    <cfRule type="containsText" dxfId="27" priority="4" operator="containsText" text="Выпадающий список">
      <formula>NOT(ISERROR(SEARCH("Выпадающий список",A1)))</formula>
    </cfRule>
  </conditionalFormatting>
  <conditionalFormatting sqref="B96:P96">
    <cfRule type="containsText" dxfId="26" priority="3" operator="containsText" text="Выберите порядок оплаты">
      <formula>NOT(ISERROR(SEARCH("Выберите порядок оплаты",B96)))</formula>
    </cfRule>
  </conditionalFormatting>
  <conditionalFormatting sqref="B301:P301">
    <cfRule type="containsText" dxfId="25" priority="2" operator="containsText" text="Дату на форме">
      <formula>NOT(ISERROR(SEARCH("Дату на форме",B301)))</formula>
    </cfRule>
  </conditionalFormatting>
  <conditionalFormatting sqref="A100:B100">
    <cfRule type="containsText" dxfId="24" priority="1" operator="containsText" text="Выпадающий список">
      <formula>NOT(ISERROR(SEARCH("Выпадающий список",A100)))</formula>
    </cfRule>
  </conditionalFormatting>
  <dataValidations count="5">
    <dataValidation allowBlank="1" showInputMessage="1" showErrorMessage="1" prompt="Введите дату" sqref="P10:P79" xr:uid="{00000000-0002-0000-0000-000000000000}"/>
    <dataValidation allowBlank="1" showInputMessage="1" showErrorMessage="1" prompt="Внесите данные на вкладку &quot;Форма ввода&quot;_x000a_" sqref="A5:P5 B96:P96" xr:uid="{00000000-0002-0000-0000-000001000000}"/>
    <dataValidation allowBlank="1" showInputMessage="1" showErrorMessage="1" prompt="Внесите данные на вкладку &quot;Форма ввода&quot;" sqref="A6:P6 B85 B101 B105 B95:P95 C86:P86 B103 C88 C93" xr:uid="{00000000-0002-0000-0000-000002000000}"/>
    <dataValidation allowBlank="1" showInputMessage="1" showErrorMessage="1" prompt="Внесите данные на вкладку &quot;Форма ввода&quot; п.5" sqref="P9" xr:uid="{00000000-0002-0000-0000-000003000000}"/>
    <dataValidation allowBlank="1" showInputMessage="1" showErrorMessage="1" prompt="Внесите %, если МТР не облагается НДС, то &quot;Без НДС&quot;" sqref="L10:L79" xr:uid="{00000000-0002-0000-0000-000004000000}"/>
  </dataValidations>
  <pageMargins left="0.78740157480314965" right="0.39370078740157483" top="0.55118110236220474" bottom="0.78740157480314965" header="0.39370078740157483" footer="0.51181102362204722"/>
  <pageSetup paperSize="9" scale="18" fitToHeight="0" orientation="landscape" r:id="rId1"/>
  <headerFooter alignWithMargins="0">
    <oddHeader>&amp;R&amp;"Times New Roman,обычный"&amp;12ЕУФ_ДС_04_30_13</oddHeader>
  </headerFooter>
  <customProperties>
    <customPr name="EpmWorksheetKeyString_GUID" r:id="rId2"/>
  </customPropertie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5000000}">
          <x14:formula1>
            <xm:f>Справочник!$B$2:$B$67</xm:f>
          </x14:formula1>
          <xm:sqref>O80</xm:sqref>
        </x14:dataValidation>
        <x14:dataValidation type="list" allowBlank="1" showInputMessage="1" showErrorMessage="1" prompt="Скройте столбец, если он полностью дублирует п.4" xr:uid="{00000000-0002-0000-0000-000006000000}">
          <x14:formula1>
            <xm:f>Справочник!$B$2:$B$67</xm:f>
          </x14:formula1>
          <xm:sqref>O10:O79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tabColor rgb="FF008080"/>
  </sheetPr>
  <dimension ref="A1:N124"/>
  <sheetViews>
    <sheetView showGridLines="0" zoomScale="85" zoomScaleNormal="85" workbookViewId="0" xr3:uid="{958C4451-9541-5A59-BF78-D2F731DF1C81}">
      <selection activeCell="C11" sqref="C11"/>
    </sheetView>
  </sheetViews>
  <sheetFormatPr defaultRowHeight="12.75" outlineLevelRow="1"/>
  <cols>
    <col min="1" max="1" width="7.7109375" style="14" customWidth="1"/>
    <col min="2" max="2" width="58.7109375" style="14" customWidth="1"/>
    <col min="3" max="3" width="127.28515625" style="14" customWidth="1"/>
    <col min="4" max="4" width="15.7109375" style="14" customWidth="1"/>
    <col min="5" max="9" width="9.140625" style="14"/>
  </cols>
  <sheetData>
    <row r="1" spans="1:9" ht="25.5" customHeight="1">
      <c r="B1" s="15" t="s">
        <v>72</v>
      </c>
    </row>
    <row r="2" spans="1:9" s="3" customFormat="1" ht="25.5" customHeight="1">
      <c r="A2" s="16" t="s">
        <v>73</v>
      </c>
      <c r="B2" s="17" t="s">
        <v>74</v>
      </c>
      <c r="C2" s="17" t="s">
        <v>75</v>
      </c>
      <c r="D2" s="16"/>
      <c r="E2" s="18"/>
      <c r="F2" s="18"/>
      <c r="G2" s="18"/>
      <c r="H2" s="18"/>
      <c r="I2" s="18"/>
    </row>
    <row r="3" spans="1:9" s="3" customFormat="1" ht="18.75" customHeight="1">
      <c r="A3" s="380" t="s">
        <v>76</v>
      </c>
      <c r="B3" s="381"/>
      <c r="C3" s="381"/>
      <c r="D3" s="19"/>
      <c r="E3" s="18"/>
      <c r="F3" s="18"/>
      <c r="G3" s="18"/>
      <c r="H3" s="18"/>
      <c r="I3" s="18"/>
    </row>
    <row r="4" spans="1:9">
      <c r="A4" s="20" t="s">
        <v>77</v>
      </c>
      <c r="B4" s="20" t="s">
        <v>78</v>
      </c>
      <c r="C4" s="73"/>
      <c r="D4" s="21"/>
    </row>
    <row r="5" spans="1:9">
      <c r="A5" s="20" t="s">
        <v>77</v>
      </c>
      <c r="B5" s="20" t="s">
        <v>79</v>
      </c>
      <c r="C5" s="35"/>
      <c r="D5" s="21"/>
    </row>
    <row r="6" spans="1:9">
      <c r="A6" s="20" t="s">
        <v>77</v>
      </c>
      <c r="B6" s="20" t="s">
        <v>80</v>
      </c>
      <c r="C6" s="73"/>
      <c r="D6" s="21"/>
    </row>
    <row r="7" spans="1:9">
      <c r="A7" s="20" t="s">
        <v>77</v>
      </c>
      <c r="B7" s="20" t="s">
        <v>81</v>
      </c>
      <c r="C7" s="35"/>
      <c r="D7" s="21"/>
    </row>
    <row r="8" spans="1:9">
      <c r="A8" s="77" t="s">
        <v>77</v>
      </c>
      <c r="B8" s="77" t="s">
        <v>82</v>
      </c>
      <c r="C8" s="78"/>
      <c r="D8" s="66"/>
      <c r="E8"/>
      <c r="F8"/>
      <c r="G8"/>
      <c r="H8"/>
      <c r="I8"/>
    </row>
    <row r="9" spans="1:9">
      <c r="A9" s="77" t="s">
        <v>77</v>
      </c>
      <c r="B9" s="77" t="s">
        <v>83</v>
      </c>
      <c r="C9" s="78"/>
      <c r="D9" s="66"/>
      <c r="E9"/>
      <c r="F9"/>
      <c r="G9"/>
      <c r="H9"/>
      <c r="I9"/>
    </row>
    <row r="10" spans="1:9">
      <c r="A10" s="77" t="s">
        <v>77</v>
      </c>
      <c r="B10" s="77" t="s">
        <v>84</v>
      </c>
      <c r="C10" s="78"/>
      <c r="D10" s="66"/>
      <c r="E10"/>
      <c r="F10"/>
      <c r="G10"/>
      <c r="H10"/>
      <c r="I10"/>
    </row>
    <row r="11" spans="1:9">
      <c r="A11" s="20" t="s">
        <v>77</v>
      </c>
      <c r="B11" s="20" t="s">
        <v>85</v>
      </c>
      <c r="C11" s="22" t="s">
        <v>86</v>
      </c>
      <c r="D11" s="21"/>
    </row>
    <row r="12" spans="1:9">
      <c r="A12" s="20" t="s">
        <v>77</v>
      </c>
      <c r="B12" s="20" t="s">
        <v>87</v>
      </c>
      <c r="C12" s="23"/>
      <c r="D12" s="21"/>
    </row>
    <row r="13" spans="1:9">
      <c r="A13" s="20" t="s">
        <v>77</v>
      </c>
      <c r="B13" s="20" t="s">
        <v>88</v>
      </c>
      <c r="C13" s="23"/>
      <c r="D13" s="21"/>
    </row>
    <row r="14" spans="1:9">
      <c r="A14" s="20" t="s">
        <v>0</v>
      </c>
      <c r="B14" s="20" t="s">
        <v>89</v>
      </c>
      <c r="C14" s="22" t="s">
        <v>86</v>
      </c>
      <c r="D14" s="21" t="e">
        <f>VLOOKUP(C14,Справочник!W3:X9,2,)</f>
        <v>#N/A</v>
      </c>
    </row>
    <row r="15" spans="1:9" ht="25.5">
      <c r="A15" s="24" t="s">
        <v>36</v>
      </c>
      <c r="B15" s="25" t="s">
        <v>90</v>
      </c>
      <c r="C15" s="26"/>
      <c r="D15" s="21"/>
    </row>
    <row r="16" spans="1:9" ht="25.5" hidden="1">
      <c r="A16" s="24" t="s">
        <v>36</v>
      </c>
      <c r="B16" s="25" t="s">
        <v>91</v>
      </c>
      <c r="C16" s="26"/>
      <c r="D16" s="21"/>
    </row>
    <row r="17" spans="1:9" s="3" customFormat="1" ht="18.75" customHeight="1">
      <c r="A17" s="380" t="s">
        <v>92</v>
      </c>
      <c r="B17" s="381"/>
      <c r="C17" s="381"/>
      <c r="D17" s="27"/>
      <c r="E17" s="18"/>
      <c r="F17" s="18"/>
      <c r="G17" s="18"/>
      <c r="H17" s="18"/>
      <c r="I17" s="18"/>
    </row>
    <row r="18" spans="1:9" ht="25.5">
      <c r="A18" s="28" t="s">
        <v>93</v>
      </c>
      <c r="B18" s="29" t="s">
        <v>94</v>
      </c>
      <c r="C18" s="30"/>
      <c r="D18" s="21"/>
    </row>
    <row r="19" spans="1:9">
      <c r="A19" s="20" t="s">
        <v>14</v>
      </c>
      <c r="B19" s="20" t="s">
        <v>15</v>
      </c>
      <c r="C19" s="22" t="s">
        <v>86</v>
      </c>
      <c r="D19" s="21"/>
    </row>
    <row r="20" spans="1:9" ht="25.5">
      <c r="A20" s="31" t="s">
        <v>16</v>
      </c>
      <c r="B20" s="31" t="s">
        <v>95</v>
      </c>
      <c r="C20" s="30"/>
      <c r="D20" s="21"/>
    </row>
    <row r="21" spans="1:9" ht="34.5" customHeight="1">
      <c r="A21" s="31" t="s">
        <v>18</v>
      </c>
      <c r="B21" s="31" t="s">
        <v>96</v>
      </c>
      <c r="C21" s="26"/>
      <c r="D21" s="21"/>
    </row>
    <row r="22" spans="1:9" ht="34.5" customHeight="1">
      <c r="A22" s="31"/>
      <c r="B22" s="31" t="s">
        <v>96</v>
      </c>
      <c r="C22" s="26"/>
      <c r="D22" s="21"/>
    </row>
    <row r="23" spans="1:9" ht="34.5" customHeight="1">
      <c r="A23" s="31"/>
      <c r="B23" s="31" t="s">
        <v>96</v>
      </c>
      <c r="C23" s="26"/>
      <c r="D23" s="21"/>
    </row>
    <row r="24" spans="1:9" ht="25.5">
      <c r="A24" s="33" t="s">
        <v>20</v>
      </c>
      <c r="B24" s="33" t="s">
        <v>97</v>
      </c>
      <c r="C24" s="34" t="s">
        <v>86</v>
      </c>
      <c r="D24" s="21"/>
    </row>
    <row r="25" spans="1:9" ht="25.5">
      <c r="A25" s="28" t="s">
        <v>98</v>
      </c>
      <c r="B25" s="28" t="s">
        <v>99</v>
      </c>
      <c r="C25" s="30"/>
      <c r="D25" s="21"/>
    </row>
    <row r="26" spans="1:9" ht="38.25">
      <c r="A26" s="28" t="s">
        <v>100</v>
      </c>
      <c r="B26" s="71" t="s">
        <v>101</v>
      </c>
      <c r="C26" s="35"/>
      <c r="D26" s="21"/>
    </row>
    <row r="27" spans="1:9">
      <c r="A27" s="28" t="s">
        <v>102</v>
      </c>
      <c r="B27" s="71" t="s">
        <v>103</v>
      </c>
      <c r="C27" s="35"/>
      <c r="D27" s="21"/>
    </row>
    <row r="28" spans="1:9" ht="25.5">
      <c r="A28" s="28" t="s">
        <v>104</v>
      </c>
      <c r="B28" s="71" t="s">
        <v>105</v>
      </c>
      <c r="C28" s="35"/>
      <c r="D28" s="21"/>
    </row>
    <row r="29" spans="1:9" ht="30.2" customHeight="1">
      <c r="A29" s="36" t="s">
        <v>106</v>
      </c>
      <c r="B29" s="33" t="s">
        <v>107</v>
      </c>
      <c r="C29" s="37" t="s">
        <v>86</v>
      </c>
      <c r="D29" s="21"/>
    </row>
    <row r="30" spans="1:9" s="3" customFormat="1">
      <c r="A30" s="380" t="s">
        <v>108</v>
      </c>
      <c r="B30" s="381"/>
      <c r="C30" s="381"/>
      <c r="D30" s="27"/>
      <c r="E30" s="18"/>
      <c r="F30" s="18"/>
      <c r="G30" s="18"/>
      <c r="H30" s="18"/>
      <c r="I30" s="18"/>
    </row>
    <row r="31" spans="1:9">
      <c r="A31" s="38" t="s">
        <v>24</v>
      </c>
      <c r="B31" s="33" t="s">
        <v>109</v>
      </c>
      <c r="C31" s="39" t="s">
        <v>86</v>
      </c>
      <c r="D31" s="21"/>
    </row>
    <row r="32" spans="1:9" s="7" customFormat="1">
      <c r="A32" s="40" t="s">
        <v>110</v>
      </c>
      <c r="B32" s="40" t="s">
        <v>111</v>
      </c>
      <c r="C32" s="41" t="s">
        <v>86</v>
      </c>
      <c r="D32" s="42"/>
      <c r="E32" s="43"/>
      <c r="F32" s="43"/>
      <c r="G32" s="43"/>
      <c r="H32" s="43"/>
      <c r="I32" s="43"/>
    </row>
    <row r="33" spans="1:9" ht="233.25" customHeight="1">
      <c r="A33" s="33" t="s">
        <v>25</v>
      </c>
      <c r="B33" s="44" t="s">
        <v>112</v>
      </c>
      <c r="C33" s="64" t="str">
        <f ca="1">IF(C32="(Выпадающий список)","Выберите порядок оплаты",IF((C32="Предоплата")*(ISBLANK(C34)),"Укажите количество дней предоплаты",IF((C32="Постоплата")*(ISBLANK(C35)),"Укажите количество дней постоплаты",IF((OR(C32="Частичнаяпредоплата",C32="Частичнаяпредоплата_с_БГ",C32="Предоплата_c_БГ",)*(ISBLANK(C34)+ISBLANK(C35))),"Укажите количество дней частичной предоплаты/постоплаты",INDIRECT($C$32)))))</f>
        <v>Выберите порядок оплаты</v>
      </c>
      <c r="D33" s="21"/>
    </row>
    <row r="34" spans="1:9" ht="25.5">
      <c r="A34" s="28" t="s">
        <v>113</v>
      </c>
      <c r="B34" s="28" t="s">
        <v>114</v>
      </c>
      <c r="C34" s="45"/>
      <c r="D34" s="21"/>
    </row>
    <row r="35" spans="1:9" ht="25.5">
      <c r="A35" s="28" t="s">
        <v>115</v>
      </c>
      <c r="B35" s="28" t="s">
        <v>116</v>
      </c>
      <c r="C35" s="45"/>
      <c r="D35" s="21"/>
    </row>
    <row r="36" spans="1:9">
      <c r="A36" s="28" t="s">
        <v>117</v>
      </c>
      <c r="B36" s="28" t="s">
        <v>118</v>
      </c>
      <c r="C36" s="46">
        <v>0.1</v>
      </c>
      <c r="D36" s="21"/>
    </row>
    <row r="37" spans="1:9">
      <c r="A37" s="28" t="s">
        <v>119</v>
      </c>
      <c r="B37" s="28" t="s">
        <v>120</v>
      </c>
      <c r="C37" s="63">
        <f>100%-C36</f>
        <v>0.9</v>
      </c>
      <c r="D37" s="21"/>
    </row>
    <row r="38" spans="1:9" ht="76.7" customHeight="1">
      <c r="A38" s="380" t="s">
        <v>121</v>
      </c>
      <c r="B38" s="381"/>
      <c r="C38" s="381"/>
      <c r="D38" s="21"/>
    </row>
    <row r="39" spans="1:9" s="7" customFormat="1" outlineLevel="1">
      <c r="A39" s="40" t="s">
        <v>122</v>
      </c>
      <c r="B39" s="40" t="s">
        <v>123</v>
      </c>
      <c r="C39" s="41" t="s">
        <v>86</v>
      </c>
      <c r="D39" s="42"/>
      <c r="E39" s="43"/>
      <c r="F39" s="43"/>
      <c r="G39" s="43"/>
      <c r="H39" s="43"/>
      <c r="I39" s="43"/>
    </row>
    <row r="40" spans="1:9" ht="159.6" customHeight="1" outlineLevel="1">
      <c r="A40" s="33" t="s">
        <v>124</v>
      </c>
      <c r="B40" s="44" t="s">
        <v>125</v>
      </c>
      <c r="C40" s="39"/>
      <c r="D40" s="21"/>
    </row>
    <row r="41" spans="1:9" ht="25.5" outlineLevel="1">
      <c r="A41" s="28" t="s">
        <v>126</v>
      </c>
      <c r="B41" s="28" t="s">
        <v>114</v>
      </c>
      <c r="C41" s="45"/>
      <c r="D41" s="21"/>
    </row>
    <row r="42" spans="1:9" ht="25.5" outlineLevel="1">
      <c r="A42" s="28" t="s">
        <v>127</v>
      </c>
      <c r="B42" s="28" t="s">
        <v>116</v>
      </c>
      <c r="C42" s="45"/>
      <c r="D42" s="21"/>
    </row>
    <row r="43" spans="1:9" outlineLevel="1">
      <c r="A43" s="28" t="s">
        <v>128</v>
      </c>
      <c r="B43" s="28" t="s">
        <v>129</v>
      </c>
      <c r="C43" s="47"/>
      <c r="D43" s="21"/>
    </row>
    <row r="44" spans="1:9" ht="25.5" outlineLevel="1">
      <c r="A44" s="28" t="s">
        <v>130</v>
      </c>
      <c r="B44" s="28" t="s">
        <v>131</v>
      </c>
      <c r="C44" s="47"/>
      <c r="D44" s="21"/>
    </row>
    <row r="45" spans="1:9" outlineLevel="1">
      <c r="A45" s="28" t="s">
        <v>132</v>
      </c>
      <c r="B45" s="28" t="s">
        <v>118</v>
      </c>
      <c r="C45" s="46"/>
      <c r="D45" s="21"/>
    </row>
    <row r="46" spans="1:9" outlineLevel="1">
      <c r="A46" s="28" t="s">
        <v>133</v>
      </c>
      <c r="B46" s="28" t="s">
        <v>120</v>
      </c>
      <c r="C46" s="63">
        <f>100%-C45</f>
        <v>1</v>
      </c>
      <c r="D46" s="21"/>
    </row>
    <row r="47" spans="1:9" s="3" customFormat="1" ht="18.75" customHeight="1">
      <c r="A47" s="380" t="s">
        <v>134</v>
      </c>
      <c r="B47" s="381"/>
      <c r="C47" s="381"/>
      <c r="D47" s="27"/>
      <c r="E47" s="18"/>
      <c r="F47" s="18"/>
      <c r="G47" s="18"/>
      <c r="H47" s="18"/>
      <c r="I47" s="18"/>
    </row>
    <row r="48" spans="1:9">
      <c r="A48" s="33" t="s">
        <v>26</v>
      </c>
      <c r="B48" s="33" t="s">
        <v>135</v>
      </c>
      <c r="C48" s="30"/>
      <c r="D48" s="21"/>
    </row>
    <row r="49" spans="1:9">
      <c r="A49" s="33"/>
      <c r="B49" s="323" t="s">
        <v>136</v>
      </c>
      <c r="C49" s="30"/>
      <c r="D49" s="324" t="s">
        <v>137</v>
      </c>
    </row>
    <row r="50" spans="1:9" ht="25.5">
      <c r="A50" s="325" t="s">
        <v>138</v>
      </c>
      <c r="B50" s="28" t="s">
        <v>139</v>
      </c>
      <c r="C50" s="30" t="s">
        <v>140</v>
      </c>
      <c r="D50" s="21"/>
    </row>
    <row r="51" spans="1:9" ht="25.5">
      <c r="A51" s="325" t="s">
        <v>141</v>
      </c>
      <c r="B51" s="28" t="s">
        <v>142</v>
      </c>
      <c r="C51" s="30" t="s">
        <v>143</v>
      </c>
      <c r="D51" s="21"/>
    </row>
    <row r="52" spans="1:9" ht="25.5">
      <c r="A52" s="325" t="s">
        <v>144</v>
      </c>
      <c r="B52" s="28" t="s">
        <v>145</v>
      </c>
      <c r="C52" s="30" t="s">
        <v>146</v>
      </c>
      <c r="D52" s="21"/>
    </row>
    <row r="53" spans="1:9" ht="25.5">
      <c r="A53" s="325" t="s">
        <v>147</v>
      </c>
      <c r="B53" s="28" t="s">
        <v>148</v>
      </c>
      <c r="C53" s="30"/>
      <c r="D53" s="21"/>
    </row>
    <row r="54" spans="1:9" ht="25.5">
      <c r="A54" s="325" t="s">
        <v>149</v>
      </c>
      <c r="B54" s="28" t="s">
        <v>150</v>
      </c>
      <c r="C54" s="30"/>
      <c r="D54" s="21"/>
    </row>
    <row r="55" spans="1:9">
      <c r="A55" s="325"/>
      <c r="B55" s="323" t="s">
        <v>151</v>
      </c>
      <c r="C55" s="30"/>
      <c r="D55" s="324" t="s">
        <v>137</v>
      </c>
    </row>
    <row r="56" spans="1:9" ht="25.5">
      <c r="A56" s="325" t="s">
        <v>152</v>
      </c>
      <c r="B56" s="28" t="s">
        <v>139</v>
      </c>
      <c r="C56" s="30" t="s">
        <v>153</v>
      </c>
      <c r="D56" s="21"/>
    </row>
    <row r="57" spans="1:9" ht="25.5">
      <c r="A57" s="325" t="s">
        <v>154</v>
      </c>
      <c r="B57" s="28" t="s">
        <v>142</v>
      </c>
      <c r="C57" s="30"/>
      <c r="D57" s="21"/>
    </row>
    <row r="58" spans="1:9" ht="25.5">
      <c r="A58" s="325" t="s">
        <v>155</v>
      </c>
      <c r="B58" s="28" t="s">
        <v>145</v>
      </c>
      <c r="C58" s="45"/>
      <c r="D58" s="21"/>
    </row>
    <row r="59" spans="1:9" ht="25.5">
      <c r="A59" s="325" t="s">
        <v>156</v>
      </c>
      <c r="B59" s="28" t="s">
        <v>148</v>
      </c>
      <c r="C59" s="30"/>
      <c r="D59" s="21"/>
    </row>
    <row r="60" spans="1:9" ht="25.5">
      <c r="A60" s="325" t="s">
        <v>157</v>
      </c>
      <c r="B60" s="28" t="s">
        <v>150</v>
      </c>
      <c r="C60" s="30"/>
      <c r="D60" s="21"/>
    </row>
    <row r="61" spans="1:9" s="3" customFormat="1" ht="18.75" customHeight="1">
      <c r="A61" s="380" t="s">
        <v>158</v>
      </c>
      <c r="B61" s="381"/>
      <c r="C61" s="381"/>
      <c r="D61" s="27"/>
      <c r="E61" s="18"/>
      <c r="F61" s="18"/>
      <c r="G61" s="18"/>
      <c r="H61" s="18"/>
      <c r="I61" s="18"/>
    </row>
    <row r="62" spans="1:9" ht="25.5">
      <c r="A62" s="48" t="s">
        <v>159</v>
      </c>
      <c r="B62" s="28" t="s">
        <v>160</v>
      </c>
      <c r="C62" s="34" t="s">
        <v>86</v>
      </c>
      <c r="D62" s="21"/>
    </row>
    <row r="63" spans="1:9" ht="25.5">
      <c r="A63" s="48" t="s">
        <v>161</v>
      </c>
      <c r="B63" s="28" t="s">
        <v>162</v>
      </c>
      <c r="C63" s="34" t="s">
        <v>86</v>
      </c>
      <c r="D63" s="21"/>
    </row>
    <row r="64" spans="1:9" ht="25.5">
      <c r="A64" s="49" t="s">
        <v>32</v>
      </c>
      <c r="B64" s="33" t="s">
        <v>163</v>
      </c>
      <c r="C64" s="39" t="s">
        <v>86</v>
      </c>
      <c r="D64" s="21"/>
    </row>
    <row r="65" spans="1:14">
      <c r="A65" s="380" t="s">
        <v>164</v>
      </c>
      <c r="B65" s="381"/>
      <c r="C65" s="381"/>
      <c r="D65" s="21"/>
    </row>
    <row r="66" spans="1:14" ht="51.75" customHeight="1">
      <c r="A66" s="50" t="s">
        <v>40</v>
      </c>
      <c r="B66" s="33" t="s">
        <v>165</v>
      </c>
      <c r="C66" s="83" t="str">
        <f>CONCATENATE("При отказе от принятия Товара Покупатель направляет Поставщику уведомление по электронной почте, не позднее ", 'Форма ввода'!$C$67," ", IFERROR(VLOOKUP('Форма ввода'!$C$67,Справочник!$AI$2:$AJ$100,2,0),"")," рабочих дней с момента истечения срока поставки Товара, указанного в данном Дополнительном соглашении. При этом Поставщик:")</f>
        <v>При отказе от принятия Товара Покупатель направляет Поставщику уведомление по электронной почте, не позднее 3 (Трех) рабочих дней с момента истечения срока поставки Товара, указанного в данном Дополнительном соглашении. При этом Поставщик:</v>
      </c>
      <c r="D66" s="21"/>
    </row>
    <row r="67" spans="1:14">
      <c r="A67" s="50"/>
      <c r="B67" s="33" t="s">
        <v>166</v>
      </c>
      <c r="C67" s="82">
        <v>3</v>
      </c>
      <c r="D67" s="21"/>
    </row>
    <row r="68" spans="1:14" ht="72.75" customHeight="1">
      <c r="A68" s="91" t="s">
        <v>41</v>
      </c>
      <c r="B68" s="33" t="s">
        <v>167</v>
      </c>
      <c r="C68" s="83" t="str">
        <f>CONCATENATE("обязан в течение ", 'Форма ввода'!$C$69," ", IFERROR(VLOOKUP('Форма ввода'!$C$69,Справочник!$AI$2:$AJ$100,2,0),""),"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f>
        <v>обязан в течение 2 (Двух)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v>
      </c>
      <c r="D68" s="21"/>
    </row>
    <row r="69" spans="1:14" ht="25.5">
      <c r="A69" s="50" t="s">
        <v>168</v>
      </c>
      <c r="B69" s="33" t="s">
        <v>169</v>
      </c>
      <c r="C69" s="82">
        <v>2</v>
      </c>
      <c r="D69" s="21"/>
    </row>
    <row r="70" spans="1:14" s="3" customFormat="1" ht="18.75" customHeight="1">
      <c r="A70" s="380" t="s">
        <v>170</v>
      </c>
      <c r="B70" s="381"/>
      <c r="C70" s="381"/>
      <c r="D70" s="27"/>
      <c r="E70" s="18"/>
      <c r="F70" s="18"/>
      <c r="G70" s="18"/>
      <c r="H70" s="18"/>
      <c r="I70" s="18"/>
    </row>
    <row r="71" spans="1:14" ht="38.25">
      <c r="A71" s="50" t="s">
        <v>44</v>
      </c>
      <c r="B71" s="33" t="s">
        <v>171</v>
      </c>
      <c r="C71" s="83" t="s">
        <v>172</v>
      </c>
      <c r="D71" s="21"/>
    </row>
    <row r="72" spans="1:14" ht="25.5">
      <c r="A72" s="50" t="s">
        <v>45</v>
      </c>
      <c r="B72" s="33" t="s">
        <v>173</v>
      </c>
      <c r="C72" s="163"/>
      <c r="D72" s="21"/>
    </row>
    <row r="73" spans="1:14" ht="25.5">
      <c r="A73" s="50" t="s">
        <v>47</v>
      </c>
      <c r="B73" s="33" t="s">
        <v>174</v>
      </c>
      <c r="C73" s="163"/>
      <c r="D73" s="51"/>
    </row>
    <row r="74" spans="1:14" s="3" customFormat="1" ht="70.5" customHeight="1">
      <c r="A74" s="380" t="s">
        <v>175</v>
      </c>
      <c r="B74" s="381" t="s">
        <v>176</v>
      </c>
      <c r="C74" s="382"/>
      <c r="D74" s="52" t="s">
        <v>177</v>
      </c>
      <c r="E74" s="18"/>
      <c r="F74" s="18"/>
      <c r="G74" s="18"/>
      <c r="H74" s="18"/>
      <c r="I74" s="18"/>
    </row>
    <row r="75" spans="1:14" ht="21.75" customHeight="1">
      <c r="A75" s="74" t="s">
        <v>178</v>
      </c>
      <c r="B75" s="32" t="s">
        <v>179</v>
      </c>
      <c r="C75" s="72"/>
      <c r="D75" s="54" t="s">
        <v>137</v>
      </c>
    </row>
    <row r="76" spans="1:14" ht="45" customHeight="1">
      <c r="A76" s="74" t="s">
        <v>180</v>
      </c>
      <c r="B76" s="32" t="s">
        <v>181</v>
      </c>
      <c r="C76" s="72"/>
      <c r="D76" s="54" t="s">
        <v>137</v>
      </c>
    </row>
    <row r="77" spans="1:14" ht="32.25" customHeight="1">
      <c r="A77" s="74" t="s">
        <v>182</v>
      </c>
      <c r="B77" s="32" t="s">
        <v>183</v>
      </c>
      <c r="C77" s="53" t="s">
        <v>184</v>
      </c>
      <c r="D77" s="54"/>
      <c r="E77" s="9"/>
      <c r="F77" s="9"/>
      <c r="G77" s="9"/>
      <c r="H77" s="9"/>
      <c r="I77" s="9"/>
      <c r="J77" s="9"/>
      <c r="K77" s="9"/>
      <c r="L77" s="9"/>
      <c r="M77" s="9"/>
      <c r="N77" s="9"/>
    </row>
    <row r="78" spans="1:14" ht="138.19999999999999" customHeight="1">
      <c r="A78" s="74" t="s">
        <v>185</v>
      </c>
      <c r="B78" s="70" t="s">
        <v>186</v>
      </c>
      <c r="C78" s="64" t="s">
        <v>187</v>
      </c>
      <c r="D78" s="54"/>
    </row>
    <row r="79" spans="1:14" ht="62.45" customHeight="1">
      <c r="A79" s="74" t="s">
        <v>188</v>
      </c>
      <c r="B79" s="32" t="s">
        <v>189</v>
      </c>
      <c r="C79" s="53" t="str">
        <f>CONCATENATE("При исполнении настоящего дополнительного соглашения допускается отклонение от согласованного Сторонами количества Товара (толеранс) в пределах +/-",TEXT($C$80,"0%"), "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 'Форма ввода'!$C$35," ", IFERROR(VLOOKUP('Форма ввода'!$C$35,Справочник!AI2:AJ100,2,0),"")," дней с даты поставки Товара.")</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дней с даты поставки Товара.</v>
      </c>
      <c r="D79" s="54"/>
    </row>
    <row r="80" spans="1:14" ht="18.75">
      <c r="A80" s="55" t="s">
        <v>190</v>
      </c>
      <c r="B80" s="56" t="s">
        <v>191</v>
      </c>
      <c r="C80" s="57"/>
      <c r="D80" s="76"/>
      <c r="E80" s="9"/>
      <c r="F80" s="9"/>
      <c r="G80" s="9"/>
      <c r="H80" s="9"/>
      <c r="I80" s="9"/>
      <c r="J80" s="9"/>
      <c r="K80" s="9"/>
      <c r="L80" s="9"/>
      <c r="M80" s="9"/>
      <c r="N80" s="9"/>
    </row>
    <row r="81" spans="1:9" ht="209.25" customHeight="1">
      <c r="A81" s="74" t="s">
        <v>192</v>
      </c>
      <c r="B81" s="58" t="s">
        <v>193</v>
      </c>
      <c r="C81" s="53" t="str">
        <f>CONCATENATE("При исполнении настоящего дополнительного соглашения по каждой позиции Товара допускается отклонение от согласованного Сторонами количества Товара (толеранс), размер которого определяется в соответствии с настоящим пунктом."," При наличии расхождений по количеству Товара в пределах толеранса Сторонами производится доплата или возврат денежных средств не позднее ", 'Форма ввода'!$C$35," ", IFERROR(VLOOKUP('Форма ввода'!$C$35,Справочник!AI2:AJ100,2,0),"")," дней с даты поставки Товара",". 
Допускается толеранс по количеству (массе) Товара +/-10% при наличии совокупности следующих условий: ","
1) отклонение фактических значений толщины стенки и наружного диаметра Товара от характеристик, указанных в спецификации, соответствуют допустимым отклонениям, установленными ГОСТ;","
2) длина Товара равна или больше (в пределах 10%) значения, определяемого по формуле:
L= M /m, 
Где «L» – длина Товара, м; «M» – количество (масса)"," Товара, указанное в п. 1 Дополнительного соглашения, кг; «m»– масса 1 метра Товара, кг (определяется ГОСТ). ","
При этом отклонение фактической длины Товара в пределах +10% от рассчитанной по формуле длины ограничивается одним целым изделием наименьшей длины, без учета которого общая длина Товара по каждой позиции, предусмотренной"," п.1. Дополнительного соглашения, будет меньше длины, рассчитанной исходя из формулы, указанной в настоящем пункте выше.")</f>
        <v>При исполнении настоящего дополнительного соглашения по каждой позиции Товара допускается отклонение от согласованного Сторонами количества Товара (толеранс), размер которого определяется в соответствии с настоящим пунктом. При наличии расхождений по количеству Товара в пределах толеранса Сторонами производится доплата или возврат денежных средств не позднее   дней с даты поставки Товара. 
Допускается толеранс по количеству (массе) Товара +/-10% при наличии совокупности следующих условий: 
1) отклонение фактических значений толщины стенки и наружного диаметра Товара от характеристик, указанных в спецификации, соответствуют допустимым отклонениям, установленными ГОСТ;
2) длина Товара равна или больше (в пределах 10%) значения, определяемого по формуле:
L= M /m, 
Где «L» – длина Товара, м; «M» – количество (масса) Товара, указанное в п. 1 Дополнительного соглашения, кг; «m»– масса 1 метра Товара, кг (определяется ГОСТ). 
При этом отклонение фактической длины Товара в пределах +10% от рассчитанной по формуле длины ограничивается одним целым изделием наименьшей длины, без учета которого общая длина Товара по каждой позиции, предусмотренной п.1. Дополнительного соглашения, будет меньше длины, рассчитанной исходя из формулы, указанной в настоящем пункте выше.</v>
      </c>
      <c r="D81" s="54"/>
      <c r="E81" s="90"/>
    </row>
    <row r="82" spans="1:9" ht="129.75" customHeight="1">
      <c r="A82" s="74" t="s">
        <v>194</v>
      </c>
      <c r="B82" s="32" t="s">
        <v>195</v>
      </c>
      <c r="C82" s="53" t="str">
        <f>CONCATENATE("В соответствии со ст. 429.3 ГК РФ Покупатель вправе в срок до ",TEXT(DAY(C83),"00")&amp;" "&amp;VLOOKUP(MONTH(C83),Справочник!$D$2:$E$13,2,0)&amp;" "&amp;YEAR(C83)&amp;" года"," потребовать от Поставщика поставить дополнительный объем Товара, указанного в п. 1 настоящего дополнительного соглашения, в пределах ",TEXT($C$84,"0%"), " от количества, согласованного в настоящем дополнительном соглашении по каждой позиции.",
" Требование Покупателя о поставке дополнительного объема Товара будет считаться заявленным в пределах указанного в настоящем пункте срока,", "если требование о поставке Товара будет отправлено Покупателем в адрес Поставщика до истечения предусмотренного настоящим пунктом срока.",
"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 В случае предъявления Покупателем требования, предусмотренного настоящим пунктом, Поставщик обязан в течение ",C85,
" календарных дней с даты направления Покупателем этого требования поставить Покупателю указанное в требовании Покупателя количество Товара по цене,",
"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D82" s="54"/>
      <c r="E82" s="54" t="s">
        <v>137</v>
      </c>
    </row>
    <row r="83" spans="1:9">
      <c r="A83" s="75" t="s">
        <v>196</v>
      </c>
      <c r="B83" s="56" t="s">
        <v>197</v>
      </c>
      <c r="C83" s="59"/>
      <c r="D83" s="54"/>
      <c r="E83" s="54" t="s">
        <v>137</v>
      </c>
    </row>
    <row r="84" spans="1:9" ht="25.5">
      <c r="A84" s="75" t="s">
        <v>198</v>
      </c>
      <c r="B84" s="56" t="s">
        <v>199</v>
      </c>
      <c r="C84" s="57"/>
      <c r="D84" s="54"/>
      <c r="E84" s="54" t="s">
        <v>137</v>
      </c>
    </row>
    <row r="85" spans="1:9" ht="24" customHeight="1">
      <c r="A85" s="75" t="s">
        <v>200</v>
      </c>
      <c r="B85" s="56" t="s">
        <v>201</v>
      </c>
      <c r="C85" s="30"/>
      <c r="D85" s="54"/>
      <c r="E85" s="54" t="s">
        <v>137</v>
      </c>
    </row>
    <row r="86" spans="1:9" ht="33.75" hidden="1" customHeight="1">
      <c r="A86" s="74"/>
      <c r="B86" s="32"/>
      <c r="C86" s="64"/>
      <c r="D86" s="54"/>
      <c r="E86" s="54" t="s">
        <v>137</v>
      </c>
    </row>
    <row r="87" spans="1:9" ht="76.5">
      <c r="A87" s="74" t="s">
        <v>202</v>
      </c>
      <c r="B87" s="32" t="s">
        <v>203</v>
      </c>
      <c r="C87" s="64" t="s">
        <v>204</v>
      </c>
      <c r="D87" s="54"/>
      <c r="E87" s="54" t="s">
        <v>137</v>
      </c>
    </row>
    <row r="88" spans="1:9" ht="121.7" hidden="1" customHeight="1">
      <c r="A88" s="74" t="s">
        <v>205</v>
      </c>
      <c r="B88" s="56" t="s">
        <v>206</v>
      </c>
      <c r="C88" s="64" t="str">
        <f>CONCATENATE("Товар, поставляемый по настоящему Дополнительному соглашению, подлежит входному контролю со стороны Покупателя согласно локально-нормативным актам Покупателя. ","Покупатель самостоятельно осуществляет входной контроль поставленного Товара в течение ",C89," календарных дней с момента поступления Товара на склад Покупателя. ","При этом проверяемый товар помещается Покупателем на ответственное хранение до момента окончания проведения входного контроля. ","Если по результатам входного контроля несоответствий Покупателем не выявлено, что подтверждается составленным Актом о результатах входного контроля, то Покупатель подписывает Товарную накладную (ТОРГ-12)."," Датой поставки в данном случае является дата подписания Покупателем Товарной накладной без замечаний."," С этого момента обязанность Поставщика передать товар Покупателю считается исполненной, и к Покупателю переходят право собственности на товар, а также риск его случайной гибели или случайного повреждения."," Если по итогам входного контроля выявлены несоответствия, то Покупатель действует в соответствии с условиями Договора.")</f>
        <v>Товар, поставляемый по настоящему Дополнительному соглашению, подлежит входному контролю со стороны Покупателя согласно локально-нормативным актам Покупателя. Покупатель самостоятельно осуществляет входной контроль поставленного Товара в течение  календарных дней с момента поступления Товара на склад Покупателя. При этом проверяемый товар помещается Покупателем на ответственное хранение до момента окончания проведения входного контроля. Если по результатам входного контроля несоответствий Покупателем не выявлено, что подтверждается составленным Актом о результатах входного контроля, то Покупатель подписывает Товарную накладную (ТОРГ-12). Датой поставки в данном случае является дата подписания Покупателем Товарной накладной без замечаний. С этого момента обязанность Поставщика передать товар Покупателю считается исполненной, и к Покупателю переходят право собственности на товар, а также риск его случайной гибели или случайного повреждения. Если по итогам входного контроля выявлены несоответствия, то Покупатель действует в соответствии с условиями Договора.</v>
      </c>
      <c r="D88" s="54"/>
      <c r="E88" s="54" t="s">
        <v>137</v>
      </c>
    </row>
    <row r="89" spans="1:9" hidden="1">
      <c r="A89" s="74" t="s">
        <v>207</v>
      </c>
      <c r="B89" s="56" t="s">
        <v>208</v>
      </c>
      <c r="C89" s="30"/>
      <c r="D89" s="54"/>
      <c r="E89" s="54" t="s">
        <v>137</v>
      </c>
    </row>
    <row r="90" spans="1:9" ht="51">
      <c r="A90" s="74" t="s">
        <v>209</v>
      </c>
      <c r="B90" s="70" t="s">
        <v>210</v>
      </c>
      <c r="C90" s="64" t="s">
        <v>211</v>
      </c>
      <c r="D90" s="54"/>
      <c r="E90" s="54" t="s">
        <v>137</v>
      </c>
    </row>
    <row r="91" spans="1:9">
      <c r="A91" s="74" t="s">
        <v>212</v>
      </c>
      <c r="B91" s="70" t="s">
        <v>213</v>
      </c>
      <c r="C91" s="64" t="s">
        <v>214</v>
      </c>
      <c r="D91" s="54"/>
      <c r="E91" s="54" t="s">
        <v>137</v>
      </c>
    </row>
    <row r="92" spans="1:9" ht="63.75">
      <c r="A92" s="74" t="s">
        <v>215</v>
      </c>
      <c r="B92" s="70" t="s">
        <v>216</v>
      </c>
      <c r="C92" s="64" t="s">
        <v>217</v>
      </c>
      <c r="D92" s="54"/>
      <c r="E92" s="54" t="s">
        <v>137</v>
      </c>
    </row>
    <row r="93" spans="1:9">
      <c r="A93" s="74" t="s">
        <v>218</v>
      </c>
      <c r="B93" s="70" t="s">
        <v>216</v>
      </c>
      <c r="C93" s="64" t="s">
        <v>219</v>
      </c>
      <c r="D93" s="54"/>
      <c r="E93" s="54" t="s">
        <v>137</v>
      </c>
    </row>
    <row r="94" spans="1:9" ht="25.5">
      <c r="A94" s="74" t="s">
        <v>220</v>
      </c>
      <c r="B94" s="70" t="s">
        <v>221</v>
      </c>
      <c r="C94" s="87" t="s">
        <v>222</v>
      </c>
      <c r="D94" s="54"/>
      <c r="E94" s="54" t="s">
        <v>137</v>
      </c>
    </row>
    <row r="95" spans="1:9" s="3" customFormat="1" ht="18.75" customHeight="1">
      <c r="A95" s="379" t="s">
        <v>223</v>
      </c>
      <c r="B95" s="383"/>
      <c r="C95" s="383"/>
      <c r="D95" s="79"/>
    </row>
    <row r="96" spans="1:9" ht="17.45" customHeight="1">
      <c r="A96" s="80" t="s">
        <v>224</v>
      </c>
      <c r="B96" s="81" t="s">
        <v>225</v>
      </c>
      <c r="C96" s="83" t="s">
        <v>226</v>
      </c>
      <c r="D96" s="67"/>
      <c r="E96"/>
      <c r="F96"/>
      <c r="G96"/>
      <c r="H96"/>
      <c r="I96"/>
    </row>
    <row r="97" spans="1:9" ht="82.5" customHeight="1">
      <c r="A97" s="80" t="s">
        <v>224</v>
      </c>
      <c r="B97" s="81" t="s">
        <v>227</v>
      </c>
      <c r="C97" s="82" t="s">
        <v>228</v>
      </c>
      <c r="D97" s="67"/>
      <c r="E97"/>
      <c r="F97"/>
      <c r="G97"/>
      <c r="H97"/>
      <c r="I97"/>
    </row>
    <row r="98" spans="1:9" s="3" customFormat="1" hidden="1">
      <c r="A98" s="274"/>
      <c r="B98" s="274"/>
      <c r="C98" s="274"/>
      <c r="D98" s="272"/>
      <c r="E98" s="18"/>
      <c r="F98" s="18"/>
      <c r="G98" s="18"/>
      <c r="H98" s="18"/>
      <c r="I98" s="18"/>
    </row>
    <row r="99" spans="1:9" hidden="1">
      <c r="A99" s="275"/>
      <c r="B99" s="276"/>
      <c r="C99" s="277"/>
      <c r="D99" s="273"/>
      <c r="E99"/>
      <c r="F99"/>
      <c r="G99"/>
      <c r="H99"/>
      <c r="I99"/>
    </row>
    <row r="100" spans="1:9" hidden="1">
      <c r="A100" s="278"/>
      <c r="B100" s="279"/>
      <c r="C100" s="280"/>
      <c r="D100" s="273"/>
      <c r="E100"/>
      <c r="F100"/>
      <c r="G100"/>
      <c r="H100"/>
      <c r="I100"/>
    </row>
    <row r="101" spans="1:9" s="3" customFormat="1" ht="18.75" customHeight="1">
      <c r="A101" s="380" t="s">
        <v>229</v>
      </c>
      <c r="B101" s="381"/>
      <c r="C101" s="381"/>
      <c r="D101" s="27"/>
      <c r="E101" s="18"/>
      <c r="F101" s="18"/>
      <c r="G101" s="18"/>
      <c r="H101" s="18"/>
      <c r="I101" s="18"/>
    </row>
    <row r="102" spans="1:9">
      <c r="A102" s="84" t="s">
        <v>230</v>
      </c>
      <c r="B102" s="65" t="s">
        <v>231</v>
      </c>
      <c r="C102" s="68"/>
      <c r="D102" s="66"/>
      <c r="E102"/>
      <c r="F102"/>
      <c r="G102"/>
      <c r="H102"/>
      <c r="I102"/>
    </row>
    <row r="103" spans="1:9">
      <c r="A103" s="84" t="s">
        <v>232</v>
      </c>
      <c r="B103" s="65" t="s">
        <v>233</v>
      </c>
      <c r="C103" s="68"/>
      <c r="D103" s="66"/>
      <c r="E103"/>
      <c r="F103"/>
      <c r="G103"/>
      <c r="H103"/>
      <c r="I103"/>
    </row>
    <row r="104" spans="1:9">
      <c r="A104" s="84" t="s">
        <v>234</v>
      </c>
      <c r="B104" s="65" t="s">
        <v>235</v>
      </c>
      <c r="C104" s="68"/>
      <c r="D104" s="66"/>
      <c r="E104"/>
      <c r="F104"/>
      <c r="G104"/>
      <c r="H104"/>
      <c r="I104"/>
    </row>
    <row r="105" spans="1:9">
      <c r="A105" s="84" t="s">
        <v>236</v>
      </c>
      <c r="B105" s="65" t="s">
        <v>237</v>
      </c>
      <c r="C105" s="68"/>
      <c r="D105" s="66"/>
      <c r="E105"/>
      <c r="F105"/>
      <c r="G105"/>
      <c r="H105"/>
      <c r="I105"/>
    </row>
    <row r="106" spans="1:9">
      <c r="A106" s="84" t="s">
        <v>238</v>
      </c>
      <c r="B106" s="65" t="s">
        <v>239</v>
      </c>
      <c r="C106" s="68"/>
      <c r="D106" s="66"/>
      <c r="E106"/>
      <c r="F106"/>
      <c r="G106"/>
      <c r="H106"/>
      <c r="I106"/>
    </row>
    <row r="107" spans="1:9">
      <c r="A107" s="84" t="s">
        <v>240</v>
      </c>
      <c r="B107" s="65" t="s">
        <v>241</v>
      </c>
      <c r="C107" s="68"/>
      <c r="D107" s="66"/>
      <c r="E107"/>
      <c r="F107"/>
      <c r="G107"/>
      <c r="H107"/>
      <c r="I107"/>
    </row>
    <row r="108" spans="1:9">
      <c r="A108" s="84" t="s">
        <v>242</v>
      </c>
      <c r="B108" s="318" t="s">
        <v>243</v>
      </c>
      <c r="C108" s="68"/>
      <c r="D108" s="66"/>
      <c r="E108"/>
      <c r="F108"/>
      <c r="G108"/>
      <c r="H108"/>
      <c r="I108"/>
    </row>
    <row r="109" spans="1:9">
      <c r="A109" s="84" t="s">
        <v>244</v>
      </c>
      <c r="B109" s="60" t="s">
        <v>245</v>
      </c>
      <c r="C109" s="69"/>
      <c r="D109" s="27"/>
    </row>
    <row r="110" spans="1:9">
      <c r="A110" s="85" t="s">
        <v>246</v>
      </c>
      <c r="B110" s="61" t="s">
        <v>247</v>
      </c>
      <c r="C110" s="86" t="s">
        <v>86</v>
      </c>
      <c r="D110" s="27"/>
    </row>
    <row r="111" spans="1:9">
      <c r="A111" s="85" t="s">
        <v>248</v>
      </c>
      <c r="B111" s="61" t="s">
        <v>249</v>
      </c>
      <c r="C111" s="72"/>
      <c r="D111" s="27"/>
    </row>
    <row r="112" spans="1:9">
      <c r="A112" s="85" t="s">
        <v>250</v>
      </c>
      <c r="B112" s="61" t="s">
        <v>251</v>
      </c>
      <c r="C112" s="47"/>
      <c r="D112" s="27"/>
    </row>
    <row r="113" spans="1:9" s="3" customFormat="1" ht="18.75" customHeight="1">
      <c r="A113" s="378" t="s">
        <v>252</v>
      </c>
      <c r="B113" s="378"/>
      <c r="C113" s="379"/>
      <c r="D113" s="67"/>
    </row>
    <row r="114" spans="1:9">
      <c r="A114" s="84" t="s">
        <v>230</v>
      </c>
      <c r="B114" s="65" t="s">
        <v>231</v>
      </c>
      <c r="C114" s="68"/>
      <c r="D114" s="66"/>
      <c r="E114"/>
      <c r="F114"/>
      <c r="G114"/>
      <c r="H114"/>
      <c r="I114"/>
    </row>
    <row r="115" spans="1:9">
      <c r="A115" s="84" t="s">
        <v>232</v>
      </c>
      <c r="B115" s="65" t="s">
        <v>233</v>
      </c>
      <c r="C115" s="68"/>
      <c r="D115" s="66"/>
      <c r="E115"/>
      <c r="F115"/>
      <c r="G115"/>
      <c r="H115"/>
      <c r="I115"/>
    </row>
    <row r="116" spans="1:9">
      <c r="A116" s="84" t="s">
        <v>234</v>
      </c>
      <c r="B116" s="65" t="s">
        <v>235</v>
      </c>
      <c r="C116" s="68"/>
      <c r="D116" s="66"/>
      <c r="E116"/>
      <c r="F116"/>
      <c r="G116"/>
      <c r="H116"/>
      <c r="I116"/>
    </row>
    <row r="117" spans="1:9">
      <c r="A117" s="84" t="s">
        <v>236</v>
      </c>
      <c r="B117" s="65" t="s">
        <v>237</v>
      </c>
      <c r="C117" s="68"/>
      <c r="D117" s="66"/>
      <c r="E117"/>
      <c r="F117"/>
      <c r="G117"/>
      <c r="H117"/>
      <c r="I117"/>
    </row>
    <row r="118" spans="1:9">
      <c r="A118" s="84" t="s">
        <v>238</v>
      </c>
      <c r="B118" s="65" t="s">
        <v>239</v>
      </c>
      <c r="C118" s="68"/>
      <c r="D118" s="66"/>
      <c r="E118"/>
      <c r="F118"/>
      <c r="G118"/>
      <c r="H118"/>
      <c r="I118"/>
    </row>
    <row r="119" spans="1:9">
      <c r="A119" s="84" t="s">
        <v>240</v>
      </c>
      <c r="B119" s="65" t="s">
        <v>241</v>
      </c>
      <c r="C119" s="68"/>
      <c r="D119" s="66"/>
      <c r="E119"/>
      <c r="F119"/>
      <c r="G119"/>
      <c r="H119"/>
      <c r="I119"/>
    </row>
    <row r="120" spans="1:9">
      <c r="A120" s="84" t="s">
        <v>242</v>
      </c>
      <c r="B120" s="318" t="s">
        <v>243</v>
      </c>
      <c r="C120" s="68"/>
      <c r="D120" s="66"/>
      <c r="E120"/>
      <c r="F120"/>
      <c r="G120"/>
      <c r="H120"/>
      <c r="I120"/>
    </row>
    <row r="121" spans="1:9">
      <c r="A121" s="84" t="s">
        <v>244</v>
      </c>
      <c r="B121" s="60" t="s">
        <v>253</v>
      </c>
      <c r="C121" s="72"/>
      <c r="D121" s="27"/>
    </row>
    <row r="122" spans="1:9">
      <c r="A122" s="85" t="s">
        <v>246</v>
      </c>
      <c r="B122" s="61" t="s">
        <v>247</v>
      </c>
      <c r="C122" s="34" t="s">
        <v>86</v>
      </c>
      <c r="D122" s="27"/>
    </row>
    <row r="123" spans="1:9">
      <c r="A123" s="85" t="s">
        <v>248</v>
      </c>
      <c r="B123" s="61" t="s">
        <v>249</v>
      </c>
      <c r="C123" s="72"/>
      <c r="D123" s="27"/>
    </row>
    <row r="124" spans="1:9">
      <c r="A124" s="85" t="s">
        <v>250</v>
      </c>
      <c r="B124" s="61" t="s">
        <v>251</v>
      </c>
      <c r="C124" s="47"/>
      <c r="D124" s="62"/>
    </row>
  </sheetData>
  <mergeCells count="12">
    <mergeCell ref="A113:C113"/>
    <mergeCell ref="A74:C74"/>
    <mergeCell ref="A101:C101"/>
    <mergeCell ref="A3:C3"/>
    <mergeCell ref="A17:C17"/>
    <mergeCell ref="A30:C30"/>
    <mergeCell ref="A47:C47"/>
    <mergeCell ref="A61:C61"/>
    <mergeCell ref="A70:C70"/>
    <mergeCell ref="A38:C38"/>
    <mergeCell ref="A95:C95"/>
    <mergeCell ref="A65:C65"/>
  </mergeCells>
  <dataValidations xWindow="828" yWindow="699" count="30">
    <dataValidation allowBlank="1" showInputMessage="1" showErrorMessage="1" prompt="Внесите дату, к пример: 01.01.2000" sqref="C43:C44 C26:C28 C124 C112 C5 C7" xr:uid="{00000000-0002-0000-0100-000000000000}"/>
    <dataValidation type="whole" allowBlank="1" showInputMessage="1" showErrorMessage="1" sqref="C85 C89 C95" xr:uid="{00000000-0002-0000-0100-000001000000}">
      <formula1>0</formula1>
      <formula2>10000</formula2>
    </dataValidation>
    <dataValidation type="date" allowBlank="1" showInputMessage="1" showErrorMessage="1" prompt="Введите дату" sqref="C83" xr:uid="{00000000-0002-0000-0100-000002000000}">
      <formula1>36526</formula1>
      <formula2>401769</formula2>
    </dataValidation>
    <dataValidation type="decimal" allowBlank="1" showInputMessage="1" showErrorMessage="1" sqref="C80 C84" xr:uid="{00000000-0002-0000-0100-000003000000}">
      <formula1>0</formula1>
      <formula2>1</formula2>
    </dataValidation>
    <dataValidation type="decimal" allowBlank="1" showInputMessage="1" showErrorMessage="1" errorTitle="Нарушение % по трем ценам" error="3-ая цена не может уменьшать стоимость поставки более чем на 20%." prompt="Введите процент скидки от 0 до 20, без знака %" sqref="C72:C73" xr:uid="{00000000-0002-0000-0100-000004000000}">
      <formula1>0</formula1>
      <formula2>20</formula2>
    </dataValidation>
    <dataValidation type="whole" allowBlank="1" showInputMessage="1" showErrorMessage="1" prompt="ПОСТОПЛАТА: Введите число от 15 до 100 календарных дней" sqref="C35" xr:uid="{00000000-0002-0000-0100-000005000000}">
      <formula1>1</formula1>
      <formula2>100</formula2>
    </dataValidation>
    <dataValidation type="list" allowBlank="1" showInputMessage="1" showErrorMessage="1" prompt="Заполните 7.2.0-7.2.5 и повторно выберите порядок оплаты" sqref="C47" xr:uid="{00000000-0002-0000-0100-000006000000}">
      <formula1>INDIRECT($C$32)</formula1>
    </dataValidation>
    <dataValidation allowBlank="1" showInputMessage="1" showErrorMessage="1" prompt="Данное условие может быть применимо только при закупке товара, приобретаемого насыпью, наливом, по весу или объему" sqref="C79" xr:uid="{00000000-0002-0000-0100-000007000000}"/>
    <dataValidation allowBlank="1" showInputMessage="1" showErrorMessage="1" prompt="Автоматический расчет,введите % предоплаты" sqref="C37 C46" xr:uid="{00000000-0002-0000-0100-000008000000}"/>
    <dataValidation type="list" allowBlank="1" showInputMessage="1" showErrorMessage="1" prompt="Внесите процент предоплаты, если требуется" sqref="C36" xr:uid="{00000000-0002-0000-0100-000009000000}">
      <formula1>"10%,20%,30%,40%,50%,60%,70%,80%,90%,100%"</formula1>
    </dataValidation>
    <dataValidation type="list" allowBlank="1" showInputMessage="1" showErrorMessage="1" sqref="C101" xr:uid="{00000000-0002-0000-0100-00000A000000}">
      <formula1>$L$2:$L$6</formula1>
    </dataValidation>
    <dataValidation type="list" allowBlank="1" showInputMessage="1" showErrorMessage="1" sqref="C122" xr:uid="{00000000-0002-0000-0100-00000B000000}">
      <formula1>"(Выпадающий список), Устава, Доверенности,Альтернативное подписание"</formula1>
    </dataValidation>
    <dataValidation type="list" allowBlank="1" showInputMessage="1" showErrorMessage="1" prompt="Сначала определите базовые условия оплаты *6.2.0._x000a_Если требуется, заполните *6.2.1-*6.2.6 и повторно выберите порядок оплаты_x000a_" sqref="C40" xr:uid="{00000000-0002-0000-0100-00000C000000}">
      <formula1>INDIRECT($C$39)</formula1>
    </dataValidation>
    <dataValidation allowBlank="1" showInputMessage="1" showErrorMessage="1" prompt="Если сотрудник ЦОБ, то данные в справочнике столбцы U:W" sqref="B16" xr:uid="{00000000-0002-0000-0100-00000D000000}"/>
    <dataValidation type="whole" allowBlank="1" showInputMessage="1" showErrorMessage="1" prompt="ПРЕДОПЛАТА: Введите число от 15 до 100 календарных дней" sqref="C34" xr:uid="{00000000-0002-0000-0100-00000E000000}">
      <formula1>1</formula1>
      <formula2>100</formula2>
    </dataValidation>
    <dataValidation errorStyle="information" allowBlank="1" showInputMessage="1" showErrorMessage="1" errorTitle="цу" error="Укажите количество дней предоплаты/постоплаты в соответствии с выбранным порядком оплаты" prompt="Сначала определите базовые условия олаты._x000a_Если требуется, заполните 6.2.1-6.2.4 и повторно выберите порядок оплаты_x000a_" sqref="C33" xr:uid="{00000000-0002-0000-0100-00000F000000}"/>
    <dataValidation allowBlank="1" showInputMessage="1" showErrorMessage="1" prompt="Только для трубы" sqref="C81" xr:uid="{00000000-0002-0000-0100-000010000000}"/>
    <dataValidation allowBlank="1" showInputMessage="1" showErrorMessage="1" prompt="Только для подшипников" sqref="C87" xr:uid="{00000000-0002-0000-0100-000011000000}"/>
    <dataValidation allowBlank="1" showInputMessage="1" showErrorMessage="1" prompt="Контактные данные Цоба на вкладке Справочник столбцы T:V_x000a_" sqref="C16" xr:uid="{00000000-0002-0000-0100-000012000000}"/>
    <dataValidation type="whole" allowBlank="1" showInputMessage="1" showErrorMessage="1" prompt=" Введите кол-во календарных дней" sqref="C25" xr:uid="{00000000-0002-0000-0100-000013000000}">
      <formula1>2</formula1>
      <formula2>100</formula2>
    </dataValidation>
    <dataValidation type="list" allowBlank="1" showInputMessage="1" showErrorMessage="1" sqref="C113" xr:uid="{00000000-0002-0000-0100-000014000000}">
      <formula1>$K$2:$K$6</formula1>
    </dataValidation>
    <dataValidation type="whole" allowBlank="1" showInputMessage="1" showErrorMessage="1" prompt="ПРЕДОПЛАТА: Введите число от 15 до 100 календарных дней" sqref="C41" xr:uid="{00000000-0002-0000-0100-000015000000}">
      <formula1>5</formula1>
      <formula2>100</formula2>
    </dataValidation>
    <dataValidation type="whole" allowBlank="1" showInputMessage="1" showErrorMessage="1" prompt="ПОСТОПЛАТА: Введите число от 15 до 100 календарных дней" sqref="C42" xr:uid="{00000000-0002-0000-0100-000016000000}">
      <formula1>5</formula1>
      <formula2>100</formula2>
    </dataValidation>
    <dataValidation type="list" allowBlank="1" showInputMessage="1" showErrorMessage="1" sqref="C96 C71" xr:uid="{00000000-0002-0000-0100-000017000000}">
      <formula1>"да,нет"</formula1>
    </dataValidation>
    <dataValidation type="list" allowBlank="1" showInputMessage="1" showErrorMessage="1" sqref="C110" xr:uid="{00000000-0002-0000-0100-000018000000}">
      <formula1>"(Выпадающий список), Устава, Доверенности,ИП,Договора управления"</formula1>
    </dataValidation>
    <dataValidation type="list" allowBlank="1" showInputMessage="1" showErrorMessage="1" prompt="Внесите процент предоплаты, если требуется" sqref="C45" xr:uid="{00000000-0002-0000-0100-000019000000}">
      <formula1>"5%,10%,20%,30%,40%,50%,60%,70%,80%,90%,100%"</formula1>
    </dataValidation>
    <dataValidation allowBlank="1" showInputMessage="1" showErrorMessage="1" prompt="Укажите адрес Поставщика для отправки оригинала ДД в п.14.2" sqref="C13" xr:uid="{00000000-0002-0000-0100-00001A000000}"/>
    <dataValidation type="custom" allowBlank="1" showInputMessage="1" showErrorMessage="1" sqref="D34" xr:uid="{00000000-0002-0000-0100-00001B000000}">
      <formula1>""</formula1>
    </dataValidation>
    <dataValidation type="whole" operator="greaterThan" allowBlank="1" showInputMessage="1" showErrorMessage="1" sqref="C67 C69" xr:uid="{00000000-0002-0000-0100-00001C000000}">
      <formula1>0</formula1>
    </dataValidation>
    <dataValidation type="list" allowBlank="1" showInputMessage="1" showErrorMessage="1" sqref="C98" xr:uid="{00000000-0002-0000-0100-00001D000000}">
      <formula1>$L$2:$L$4</formula1>
    </dataValidation>
  </dataValidations>
  <pageMargins left="0.7" right="0.7" top="0.75" bottom="0.75" header="0.3" footer="0.3"/>
  <pageSetup paperSize="9"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xWindow="828" yWindow="699" count="11">
        <x14:dataValidation type="list" allowBlank="1" showInputMessage="1" showErrorMessage="1" xr:uid="{00000000-0002-0000-0100-00001E000000}">
          <x14:formula1>
            <xm:f>Справочник!$W$2:$W$9</xm:f>
          </x14:formula1>
          <xm:sqref>C14</xm:sqref>
        </x14:dataValidation>
        <x14:dataValidation type="list" allowBlank="1" showInputMessage="1" showErrorMessage="1" xr:uid="{00000000-0002-0000-0100-00001F000000}">
          <x14:formula1>
            <xm:f>Справочник!$K$2:$K$7</xm:f>
          </x14:formula1>
          <xm:sqref>C32</xm:sqref>
        </x14:dataValidation>
        <x14:dataValidation type="list" allowBlank="1" showInputMessage="1" showErrorMessage="1" xr:uid="{00000000-0002-0000-0100-000020000000}">
          <x14:formula1>
            <xm:f>Справочник!$Q$2:$Q$6</xm:f>
          </x14:formula1>
          <xm:sqref>C29</xm:sqref>
        </x14:dataValidation>
        <x14:dataValidation type="list" allowBlank="1" showInputMessage="1" showErrorMessage="1" xr:uid="{00000000-0002-0000-0100-000021000000}">
          <x14:formula1>
            <xm:f>Справочник!$F$2:$F$6</xm:f>
          </x14:formula1>
          <xm:sqref>C19</xm:sqref>
        </x14:dataValidation>
        <x14:dataValidation type="list" allowBlank="1" showInputMessage="1" showErrorMessage="1" xr:uid="{00000000-0002-0000-0100-000022000000}">
          <x14:formula1>
            <xm:f>Справочник!$M$2:$M$5</xm:f>
          </x14:formula1>
          <xm:sqref>C39</xm:sqref>
        </x14:dataValidation>
        <x14:dataValidation type="list" allowBlank="1" showInputMessage="1" showErrorMessage="1" prompt="если требуется, заполните 5.1-5.4 и повторно выберите срок поставки" xr:uid="{00000000-0002-0000-0100-000023000000}">
          <x14:formula1>
            <xm:f>Справочник!$H$2:$H$9</xm:f>
          </x14:formula1>
          <xm:sqref>C24</xm:sqref>
        </x14:dataValidation>
        <x14:dataValidation type="list" allowBlank="1" showInputMessage="1" showErrorMessage="1" xr:uid="{00000000-0002-0000-0100-000024000000}">
          <x14:formula1>
            <xm:f>Справочник!$P$2:$P$7</xm:f>
          </x14:formula1>
          <xm:sqref>C65 C70</xm:sqref>
        </x14:dataValidation>
        <x14:dataValidation type="list" allowBlank="1" showInputMessage="1" showErrorMessage="1" prompt="внесите в п.8.1.-8.2. кол-во месяцев и повторно выберите гарантию" xr:uid="{00000000-0002-0000-0100-000025000000}">
          <x14:formula1>
            <xm:f>Справочник!$P$2:$P$7</xm:f>
          </x14:formula1>
          <xm:sqref>C64</xm:sqref>
        </x14:dataValidation>
        <x14:dataValidation type="list" allowBlank="1" showInputMessage="1" showErrorMessage="1" xr:uid="{00000000-0002-0000-0100-000026000000}">
          <x14:formula1>
            <xm:f>Справочник!$I$2:$I$5</xm:f>
          </x14:formula1>
          <xm:sqref>C31</xm:sqref>
        </x14:dataValidation>
        <x14:dataValidation type="list" allowBlank="1" showInputMessage="1" showErrorMessage="1" xr:uid="{00000000-0002-0000-0100-000027000000}">
          <x14:formula1>
            <xm:f>Справочник!$R$2:$R$104</xm:f>
          </x14:formula1>
          <xm:sqref>C62:C63</xm:sqref>
        </x14:dataValidation>
        <x14:dataValidation type="list" allowBlank="1" showInputMessage="1" showErrorMessage="1" xr:uid="{00000000-0002-0000-0100-000028000000}">
          <x14:formula1>
            <xm:f>Справочник!$A$2:$A$42</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5">
    <tabColor theme="9"/>
    <pageSetUpPr fitToPage="1"/>
  </sheetPr>
  <dimension ref="A1:T199"/>
  <sheetViews>
    <sheetView showGridLines="0" tabSelected="1" zoomScale="25" zoomScaleNormal="25" zoomScaleSheetLayoutView="40" zoomScalePageLayoutView="50" workbookViewId="0" xr3:uid="{842E5F09-E766-5B8D-85AF-A39847EA96FD}">
      <selection activeCell="B5" sqref="B5:Q5"/>
    </sheetView>
  </sheetViews>
  <sheetFormatPr defaultColWidth="9.140625" defaultRowHeight="35.25"/>
  <cols>
    <col min="1" max="1" width="21.7109375" style="95" customWidth="1"/>
    <col min="2" max="2" width="44" style="95" customWidth="1"/>
    <col min="3" max="3" width="31.5703125" style="95" customWidth="1"/>
    <col min="4" max="4" width="43.7109375" style="95" customWidth="1"/>
    <col min="5" max="5" width="17.42578125" style="95" customWidth="1"/>
    <col min="6" max="6" width="16.85546875" style="95" customWidth="1"/>
    <col min="7" max="7" width="13" style="95" customWidth="1"/>
    <col min="8" max="8" width="27.5703125" style="95" customWidth="1"/>
    <col min="9" max="9" width="21.5703125" style="95" customWidth="1"/>
    <col min="10" max="10" width="28.42578125" style="95" customWidth="1"/>
    <col min="11" max="11" width="25.5703125" style="95" customWidth="1"/>
    <col min="12" max="12" width="22.28515625" style="95" customWidth="1"/>
    <col min="13" max="13" width="28.28515625" style="95" customWidth="1"/>
    <col min="14" max="14" width="29.28515625" style="95" customWidth="1"/>
    <col min="15" max="15" width="44.28515625" style="95" customWidth="1"/>
    <col min="16" max="16" width="58.42578125" style="95" customWidth="1"/>
    <col min="17" max="17" width="42" style="95" bestFit="1" customWidth="1"/>
    <col min="18" max="18" width="28.5703125" style="95" customWidth="1"/>
    <col min="19" max="19" width="21" style="95" customWidth="1"/>
    <col min="20" max="20" width="24.140625" style="95" customWidth="1"/>
    <col min="21" max="16384" width="9.140625" style="95"/>
  </cols>
  <sheetData>
    <row r="1" spans="1:20" ht="32.25" customHeight="1">
      <c r="A1" s="369" t="str">
        <f>IF('Форма ввода Многосторонний'!C8&gt;0,'Форма ввода Многосторонний'!C8,"")</f>
        <v/>
      </c>
      <c r="B1" s="369"/>
      <c r="C1" s="92"/>
      <c r="D1" s="92"/>
      <c r="E1" s="92"/>
      <c r="F1" s="93"/>
      <c r="G1" s="93"/>
      <c r="H1" s="93"/>
      <c r="I1" s="94"/>
      <c r="J1" s="94"/>
      <c r="K1" s="374" t="str">
        <f>CONCATENATE("Дополнительное соглашение № ",'Форма ввода Многосторонний'!C6," от ",IF('Форма ввода Многосторонний'!C7="","",TEXT(DAY('Форма ввода Многосторонний'!C7),"00")&amp;" "&amp;VLOOKUP(MONTH('Форма ввода Многосторонний'!C7),Справочник!$D$2:$E$13,2,0)&amp;" "&amp;YEAR('Форма ввода Многосторонний'!C7)&amp;" г."))</f>
        <v xml:space="preserve">Дополнительное соглашение №  от </v>
      </c>
      <c r="L1" s="374"/>
      <c r="M1" s="374"/>
      <c r="N1" s="374"/>
      <c r="O1" s="374"/>
      <c r="P1" s="374"/>
      <c r="Q1" s="374"/>
    </row>
    <row r="2" spans="1:20" ht="50.25" customHeight="1">
      <c r="B2" s="96"/>
      <c r="C2" s="96"/>
      <c r="D2" s="96"/>
      <c r="E2" s="96"/>
      <c r="F2" s="96"/>
      <c r="I2" s="97"/>
      <c r="J2" s="97"/>
      <c r="K2" s="375" t="str">
        <f>CONCATENATE("к Договору поставки № ",'Форма ввода Многосторонний'!C4," от ",IF('Форма ввода Многосторонний'!C5="","",TEXT(DAY('Форма ввода Многосторонний'!C5),"00")&amp;" "&amp;VLOOKUP(MONTH('Форма ввода Многосторонний'!C5),Справочник!$D$2:$E$13,2,0)&amp;" "&amp;YEAR('Форма ввода Многосторонний'!C5)&amp;" г."))</f>
        <v xml:space="preserve">к Договору поставки №  от </v>
      </c>
      <c r="L2" s="375"/>
      <c r="M2" s="375"/>
      <c r="N2" s="375"/>
      <c r="O2" s="375"/>
      <c r="P2" s="375"/>
      <c r="Q2" s="375"/>
    </row>
    <row r="3" spans="1:20">
      <c r="B3" s="96"/>
      <c r="C3" s="96"/>
      <c r="D3" s="96"/>
      <c r="E3" s="96"/>
      <c r="F3" s="96"/>
      <c r="J3" s="97"/>
      <c r="K3" s="95" t="str">
        <f>IF(AND('Форма ввода Многосторонний'!C9="",'Форма ввода Многосторонний'!C10=""),"",CONCATENATE("№ ДД: ",'Форма ввода Многосторонний'!C9,"; № PO: ",'Форма ввода Многосторонний'!C10))</f>
        <v/>
      </c>
      <c r="M3" s="98"/>
      <c r="N3" s="98"/>
      <c r="O3" s="98"/>
      <c r="P3" s="98"/>
    </row>
    <row r="4" spans="1:20">
      <c r="A4" s="99"/>
      <c r="B4" s="99"/>
      <c r="C4" s="100"/>
      <c r="D4" s="100"/>
      <c r="E4" s="100"/>
      <c r="F4" s="100"/>
      <c r="G4" s="101"/>
      <c r="H4" s="101"/>
      <c r="I4" s="101"/>
      <c r="J4" s="101"/>
      <c r="K4" s="101"/>
      <c r="L4" s="101"/>
      <c r="M4" s="376"/>
      <c r="N4" s="376"/>
      <c r="O4" s="376"/>
      <c r="P4" s="376"/>
      <c r="Q4" s="376"/>
    </row>
    <row r="5" spans="1:20">
      <c r="A5" s="103" t="s">
        <v>0</v>
      </c>
      <c r="B5" s="327" t="s">
        <v>1</v>
      </c>
      <c r="C5" s="327"/>
      <c r="D5" s="327"/>
      <c r="E5" s="327"/>
      <c r="F5" s="327"/>
      <c r="G5" s="327"/>
      <c r="H5" s="327"/>
      <c r="I5" s="327"/>
      <c r="J5" s="327"/>
      <c r="K5" s="327"/>
      <c r="L5" s="327"/>
      <c r="M5" s="327"/>
      <c r="N5" s="327"/>
      <c r="O5" s="327"/>
      <c r="P5" s="327"/>
      <c r="Q5" s="327"/>
    </row>
    <row r="6" spans="1:20">
      <c r="A6" s="103"/>
      <c r="B6" s="332"/>
      <c r="C6" s="332"/>
      <c r="D6" s="332"/>
      <c r="E6" s="332"/>
      <c r="F6" s="332"/>
      <c r="G6" s="332"/>
      <c r="H6" s="332"/>
      <c r="I6" s="332"/>
      <c r="J6" s="332"/>
      <c r="K6" s="332"/>
      <c r="L6" s="332"/>
      <c r="M6" s="332"/>
      <c r="N6" s="332"/>
      <c r="O6" s="332"/>
      <c r="P6" s="332"/>
      <c r="Q6" s="332"/>
    </row>
    <row r="7" spans="1:20" s="102" customFormat="1" ht="276">
      <c r="A7" s="104" t="s">
        <v>2</v>
      </c>
      <c r="B7" s="104" t="s">
        <v>3</v>
      </c>
      <c r="C7" s="104" t="s">
        <v>4</v>
      </c>
      <c r="D7" s="104" t="s">
        <v>5</v>
      </c>
      <c r="E7" s="104" t="s">
        <v>6</v>
      </c>
      <c r="F7" s="104" t="s">
        <v>7</v>
      </c>
      <c r="G7" s="104" t="s">
        <v>8</v>
      </c>
      <c r="H7" s="104" t="s">
        <v>9</v>
      </c>
      <c r="I7" s="104" t="s">
        <v>10</v>
      </c>
      <c r="J7" s="104" t="str">
        <f>CONCATENATE("Цена за единицу измерения без НДС, ",'Форма ввода Многосторонний'!$C$14)</f>
        <v>Цена за единицу измерения без НДС, (Выпадающий список)</v>
      </c>
      <c r="K7" s="104" t="str">
        <f>CONCATENATE("Стоимость без учета НДС, ",'Форма ввода Многосторонний'!$C$14)</f>
        <v>Стоимость без учета НДС, (Выпадающий список)</v>
      </c>
      <c r="L7" s="104" t="s">
        <v>11</v>
      </c>
      <c r="M7" s="104" t="str">
        <f>CONCATENATE("Сумма НДС ",'Форма ввода Многосторонний'!$C$14)</f>
        <v>Сумма НДС (Выпадающий список)</v>
      </c>
      <c r="N7" s="104" t="str">
        <f>CONCATENATE("Стоимость с учетом НДС, ",'Форма ввода Многосторонний'!$C$14)</f>
        <v>Стоимость с учетом НДС, (Выпадающий список)</v>
      </c>
      <c r="O7" s="104" t="s">
        <v>69</v>
      </c>
      <c r="P7" s="104" t="s">
        <v>12</v>
      </c>
      <c r="Q7" s="104" t="s">
        <v>254</v>
      </c>
      <c r="R7" s="104" t="s">
        <v>255</v>
      </c>
    </row>
    <row r="8" spans="1:20" s="110" customFormat="1">
      <c r="A8" s="176"/>
      <c r="B8" s="177"/>
      <c r="C8" s="177"/>
      <c r="D8" s="177"/>
      <c r="E8" s="177"/>
      <c r="F8" s="178"/>
      <c r="G8" s="106"/>
      <c r="H8" s="106"/>
      <c r="I8" s="179"/>
      <c r="J8" s="107"/>
      <c r="K8" s="180">
        <f>ROUND(I8*J8,2)</f>
        <v>0</v>
      </c>
      <c r="L8" s="181"/>
      <c r="M8" s="180">
        <f>IF(L8="Без НДС",0,ROUND(K8*L8,2))</f>
        <v>0</v>
      </c>
      <c r="N8" s="180">
        <f>M8+K8</f>
        <v>0</v>
      </c>
      <c r="O8" s="182"/>
      <c r="P8" s="182"/>
      <c r="Q8" s="183"/>
      <c r="R8" s="184"/>
      <c r="S8" s="171">
        <f>IF(O8="АО «СибурТюменьГаз»","СТГ",IF(O8="ООО «БИАКСПЛЕН»","БАПТ",IF(O8="АО «Сибур-Нефтехим»","СНХ",)))</f>
        <v>0</v>
      </c>
      <c r="T8" s="171" t="e">
        <f>VLOOKUP(O8,Справочник!B:G,6,0)</f>
        <v>#N/A</v>
      </c>
    </row>
    <row r="9" spans="1:20" s="110" customFormat="1">
      <c r="A9" s="176"/>
      <c r="B9" s="177"/>
      <c r="C9" s="177"/>
      <c r="D9" s="177"/>
      <c r="E9" s="177"/>
      <c r="F9" s="178"/>
      <c r="G9" s="106"/>
      <c r="H9" s="106"/>
      <c r="I9" s="179"/>
      <c r="J9" s="107"/>
      <c r="K9" s="180">
        <f t="shared" ref="K9:K42" si="0">ROUND(I9*J9,2)</f>
        <v>0</v>
      </c>
      <c r="L9" s="185"/>
      <c r="M9" s="180">
        <f t="shared" ref="M9:M42" si="1">IF(L9="Без НДС",0,ROUND(K9*L9,2))</f>
        <v>0</v>
      </c>
      <c r="N9" s="180">
        <f t="shared" ref="N9:N42" si="2">M9+K9</f>
        <v>0</v>
      </c>
      <c r="O9" s="182"/>
      <c r="P9" s="182"/>
      <c r="Q9" s="183"/>
      <c r="R9" s="184"/>
      <c r="S9" s="171">
        <f t="shared" ref="S9:S42" si="3">IF(O9="АО «СибурТюменьГаз»","СТГ",IF(O9="ООО «БИАКСПЛЕН»","БАПТ",IF(O9="АО «Сибур-Нефтехим»","СНХ",)))</f>
        <v>0</v>
      </c>
      <c r="T9" s="171" t="e">
        <f>VLOOKUP(O9,Справочник!B:G,6,0)</f>
        <v>#N/A</v>
      </c>
    </row>
    <row r="10" spans="1:20" s="110" customFormat="1">
      <c r="A10" s="176"/>
      <c r="B10" s="177"/>
      <c r="C10" s="177"/>
      <c r="D10" s="177"/>
      <c r="E10" s="177"/>
      <c r="F10" s="178"/>
      <c r="G10" s="106"/>
      <c r="H10" s="106"/>
      <c r="I10" s="179"/>
      <c r="J10" s="107"/>
      <c r="K10" s="180">
        <f t="shared" si="0"/>
        <v>0</v>
      </c>
      <c r="L10" s="185"/>
      <c r="M10" s="180">
        <f t="shared" si="1"/>
        <v>0</v>
      </c>
      <c r="N10" s="180">
        <f t="shared" si="2"/>
        <v>0</v>
      </c>
      <c r="O10" s="182"/>
      <c r="P10" s="182"/>
      <c r="Q10" s="183"/>
      <c r="R10" s="184"/>
      <c r="S10" s="171">
        <f t="shared" si="3"/>
        <v>0</v>
      </c>
      <c r="T10" s="171" t="e">
        <f>VLOOKUP(O10,Справочник!B:G,6,0)</f>
        <v>#N/A</v>
      </c>
    </row>
    <row r="11" spans="1:20" s="110" customFormat="1">
      <c r="A11" s="176"/>
      <c r="B11" s="177"/>
      <c r="C11" s="177"/>
      <c r="D11" s="177"/>
      <c r="E11" s="177"/>
      <c r="F11" s="178"/>
      <c r="G11" s="106"/>
      <c r="H11" s="106"/>
      <c r="I11" s="179"/>
      <c r="J11" s="107"/>
      <c r="K11" s="180">
        <f t="shared" si="0"/>
        <v>0</v>
      </c>
      <c r="L11" s="185"/>
      <c r="M11" s="180">
        <f t="shared" si="1"/>
        <v>0</v>
      </c>
      <c r="N11" s="180">
        <f t="shared" si="2"/>
        <v>0</v>
      </c>
      <c r="O11" s="182"/>
      <c r="P11" s="182"/>
      <c r="Q11" s="183"/>
      <c r="R11" s="184"/>
      <c r="S11" s="171">
        <f t="shared" si="3"/>
        <v>0</v>
      </c>
      <c r="T11" s="171" t="e">
        <f>VLOOKUP(O11,Справочник!B:G,6,0)</f>
        <v>#N/A</v>
      </c>
    </row>
    <row r="12" spans="1:20" s="110" customFormat="1">
      <c r="A12" s="189"/>
      <c r="B12" s="190"/>
      <c r="C12" s="190"/>
      <c r="D12" s="190"/>
      <c r="E12" s="190"/>
      <c r="F12" s="191"/>
      <c r="G12" s="186"/>
      <c r="H12" s="186"/>
      <c r="I12" s="187"/>
      <c r="J12" s="188"/>
      <c r="K12" s="180">
        <f t="shared" si="0"/>
        <v>0</v>
      </c>
      <c r="L12" s="185"/>
      <c r="M12" s="180">
        <f t="shared" si="1"/>
        <v>0</v>
      </c>
      <c r="N12" s="180">
        <f t="shared" si="2"/>
        <v>0</v>
      </c>
      <c r="O12" s="182"/>
      <c r="P12" s="182"/>
      <c r="Q12" s="193"/>
      <c r="R12" s="194"/>
      <c r="S12" s="171">
        <f t="shared" si="3"/>
        <v>0</v>
      </c>
      <c r="T12" s="171" t="e">
        <f>VLOOKUP(O12,Справочник!B:G,6,0)</f>
        <v>#N/A</v>
      </c>
    </row>
    <row r="13" spans="1:20" s="110" customFormat="1" ht="35.450000000000003" customHeight="1">
      <c r="A13" s="210" t="str">
        <f>"ПОДЫТОГ " &amp; O8 &amp; ":"</f>
        <v>ПОДЫТОГ :</v>
      </c>
      <c r="B13" s="208"/>
      <c r="C13" s="208"/>
      <c r="D13" s="208"/>
      <c r="E13" s="208"/>
      <c r="F13" s="208"/>
      <c r="G13" s="208"/>
      <c r="H13" s="208"/>
      <c r="I13" s="208"/>
      <c r="J13" s="209"/>
      <c r="K13" s="204">
        <f>SUM(K8:K12)</f>
        <v>0</v>
      </c>
      <c r="L13" s="164"/>
      <c r="M13" s="204">
        <f>SUM(M8:M12)</f>
        <v>0</v>
      </c>
      <c r="N13" s="204">
        <f>SUM(N8:N12)</f>
        <v>0</v>
      </c>
      <c r="O13" s="173"/>
      <c r="P13" s="174"/>
      <c r="Q13" s="207"/>
      <c r="R13" s="195"/>
      <c r="S13" s="171"/>
      <c r="T13" s="171"/>
    </row>
    <row r="14" spans="1:20" s="110" customFormat="1">
      <c r="A14" s="196"/>
      <c r="B14" s="197"/>
      <c r="C14" s="197"/>
      <c r="D14" s="197"/>
      <c r="E14" s="197"/>
      <c r="F14" s="198"/>
      <c r="G14" s="199"/>
      <c r="H14" s="199"/>
      <c r="I14" s="200"/>
      <c r="J14" s="201"/>
      <c r="K14" s="180">
        <f t="shared" si="0"/>
        <v>0</v>
      </c>
      <c r="L14" s="185"/>
      <c r="M14" s="180">
        <f t="shared" si="1"/>
        <v>0</v>
      </c>
      <c r="N14" s="180">
        <f t="shared" si="2"/>
        <v>0</v>
      </c>
      <c r="O14" s="182"/>
      <c r="P14" s="182"/>
      <c r="Q14" s="205"/>
      <c r="R14" s="206"/>
      <c r="S14" s="171">
        <f t="shared" si="3"/>
        <v>0</v>
      </c>
      <c r="T14" s="171" t="e">
        <f>VLOOKUP(O14,Справочник!B:G,6,0)</f>
        <v>#N/A</v>
      </c>
    </row>
    <row r="15" spans="1:20" s="110" customFormat="1">
      <c r="A15" s="176"/>
      <c r="B15" s="177"/>
      <c r="C15" s="177"/>
      <c r="D15" s="177"/>
      <c r="E15" s="177"/>
      <c r="F15" s="178"/>
      <c r="G15" s="106"/>
      <c r="H15" s="106"/>
      <c r="I15" s="179"/>
      <c r="J15" s="107"/>
      <c r="K15" s="180">
        <f t="shared" si="0"/>
        <v>0</v>
      </c>
      <c r="L15" s="185"/>
      <c r="M15" s="180">
        <f t="shared" si="1"/>
        <v>0</v>
      </c>
      <c r="N15" s="180">
        <f t="shared" si="2"/>
        <v>0</v>
      </c>
      <c r="O15" s="182"/>
      <c r="P15" s="182"/>
      <c r="Q15" s="183"/>
      <c r="R15" s="184"/>
      <c r="S15" s="171">
        <f t="shared" si="3"/>
        <v>0</v>
      </c>
      <c r="T15" s="171" t="e">
        <f>VLOOKUP(O15,Справочник!B:G,6,0)</f>
        <v>#N/A</v>
      </c>
    </row>
    <row r="16" spans="1:20" s="110" customFormat="1">
      <c r="A16" s="176"/>
      <c r="B16" s="177"/>
      <c r="C16" s="177"/>
      <c r="D16" s="177"/>
      <c r="E16" s="177"/>
      <c r="F16" s="178"/>
      <c r="G16" s="106"/>
      <c r="H16" s="106"/>
      <c r="I16" s="179"/>
      <c r="J16" s="107"/>
      <c r="K16" s="180">
        <f t="shared" si="0"/>
        <v>0</v>
      </c>
      <c r="L16" s="185"/>
      <c r="M16" s="180">
        <f t="shared" si="1"/>
        <v>0</v>
      </c>
      <c r="N16" s="180">
        <f t="shared" si="2"/>
        <v>0</v>
      </c>
      <c r="O16" s="182"/>
      <c r="P16" s="182"/>
      <c r="Q16" s="183"/>
      <c r="R16" s="184"/>
      <c r="S16" s="171">
        <f t="shared" si="3"/>
        <v>0</v>
      </c>
      <c r="T16" s="171" t="e">
        <f>VLOOKUP(O16,Справочник!B:G,6,0)</f>
        <v>#N/A</v>
      </c>
    </row>
    <row r="17" spans="1:20" s="110" customFormat="1">
      <c r="A17" s="176"/>
      <c r="B17" s="177"/>
      <c r="C17" s="177"/>
      <c r="D17" s="177"/>
      <c r="E17" s="177"/>
      <c r="F17" s="178"/>
      <c r="G17" s="106"/>
      <c r="H17" s="106"/>
      <c r="I17" s="179"/>
      <c r="J17" s="107"/>
      <c r="K17" s="180">
        <f t="shared" si="0"/>
        <v>0</v>
      </c>
      <c r="L17" s="185"/>
      <c r="M17" s="180">
        <f t="shared" si="1"/>
        <v>0</v>
      </c>
      <c r="N17" s="180">
        <f t="shared" si="2"/>
        <v>0</v>
      </c>
      <c r="O17" s="182"/>
      <c r="P17" s="182"/>
      <c r="Q17" s="183"/>
      <c r="R17" s="184"/>
      <c r="S17" s="171">
        <f t="shared" si="3"/>
        <v>0</v>
      </c>
      <c r="T17" s="171" t="e">
        <f>VLOOKUP(O17,Справочник!B:G,6,0)</f>
        <v>#N/A</v>
      </c>
    </row>
    <row r="18" spans="1:20" s="110" customFormat="1">
      <c r="A18" s="176"/>
      <c r="B18" s="177"/>
      <c r="C18" s="177"/>
      <c r="D18" s="177"/>
      <c r="E18" s="177"/>
      <c r="F18" s="178"/>
      <c r="G18" s="106"/>
      <c r="H18" s="106"/>
      <c r="I18" s="179"/>
      <c r="J18" s="107"/>
      <c r="K18" s="180">
        <f t="shared" si="0"/>
        <v>0</v>
      </c>
      <c r="L18" s="185"/>
      <c r="M18" s="180">
        <f t="shared" si="1"/>
        <v>0</v>
      </c>
      <c r="N18" s="180">
        <f t="shared" si="2"/>
        <v>0</v>
      </c>
      <c r="O18" s="182"/>
      <c r="P18" s="182"/>
      <c r="Q18" s="183"/>
      <c r="R18" s="184"/>
      <c r="S18" s="171">
        <f t="shared" si="3"/>
        <v>0</v>
      </c>
      <c r="T18" s="171" t="e">
        <f>VLOOKUP(O18,Справочник!B:G,6,0)</f>
        <v>#N/A</v>
      </c>
    </row>
    <row r="19" spans="1:20" s="110" customFormat="1">
      <c r="A19" s="210" t="str">
        <f>"ПОДЫТОГ " &amp; O14 &amp; ":"</f>
        <v>ПОДЫТОГ :</v>
      </c>
      <c r="B19" s="175"/>
      <c r="C19" s="175"/>
      <c r="D19" s="175"/>
      <c r="E19" s="175"/>
      <c r="F19" s="202"/>
      <c r="G19" s="192"/>
      <c r="H19" s="192"/>
      <c r="I19" s="203"/>
      <c r="J19" s="204"/>
      <c r="K19" s="204">
        <f>SUM(K14:K18)</f>
        <v>0</v>
      </c>
      <c r="L19" s="164"/>
      <c r="M19" s="204">
        <f>SUM(M14:M18)</f>
        <v>0</v>
      </c>
      <c r="N19" s="204">
        <f>SUM(N14:N18)</f>
        <v>0</v>
      </c>
      <c r="O19" s="173"/>
      <c r="P19" s="174"/>
      <c r="Q19" s="207"/>
      <c r="R19" s="195"/>
      <c r="S19" s="171"/>
      <c r="T19" s="171"/>
    </row>
    <row r="20" spans="1:20" s="110" customFormat="1">
      <c r="A20" s="176"/>
      <c r="B20" s="177"/>
      <c r="C20" s="177"/>
      <c r="D20" s="177"/>
      <c r="E20" s="177"/>
      <c r="F20" s="178"/>
      <c r="G20" s="106"/>
      <c r="H20" s="106"/>
      <c r="I20" s="179"/>
      <c r="J20" s="107"/>
      <c r="K20" s="180">
        <f t="shared" si="0"/>
        <v>0</v>
      </c>
      <c r="L20" s="185"/>
      <c r="M20" s="180">
        <f t="shared" si="1"/>
        <v>0</v>
      </c>
      <c r="N20" s="180">
        <f t="shared" si="2"/>
        <v>0</v>
      </c>
      <c r="O20" s="182"/>
      <c r="P20" s="182"/>
      <c r="Q20" s="183"/>
      <c r="R20" s="184"/>
      <c r="S20" s="171">
        <f t="shared" si="3"/>
        <v>0</v>
      </c>
      <c r="T20" s="171" t="e">
        <f>VLOOKUP(O20,Справочник!B:G,6,0)</f>
        <v>#N/A</v>
      </c>
    </row>
    <row r="21" spans="1:20" s="110" customFormat="1">
      <c r="A21" s="176"/>
      <c r="B21" s="177"/>
      <c r="C21" s="177"/>
      <c r="D21" s="177"/>
      <c r="E21" s="177"/>
      <c r="F21" s="178"/>
      <c r="G21" s="106"/>
      <c r="H21" s="106"/>
      <c r="I21" s="179"/>
      <c r="J21" s="107"/>
      <c r="K21" s="180">
        <f t="shared" si="0"/>
        <v>0</v>
      </c>
      <c r="L21" s="185"/>
      <c r="M21" s="180">
        <f t="shared" si="1"/>
        <v>0</v>
      </c>
      <c r="N21" s="180">
        <f t="shared" si="2"/>
        <v>0</v>
      </c>
      <c r="O21" s="182"/>
      <c r="P21" s="182"/>
      <c r="Q21" s="183"/>
      <c r="R21" s="184"/>
      <c r="S21" s="171">
        <f t="shared" si="3"/>
        <v>0</v>
      </c>
      <c r="T21" s="171" t="e">
        <f>VLOOKUP(O21,Справочник!B:G,6,0)</f>
        <v>#N/A</v>
      </c>
    </row>
    <row r="22" spans="1:20" s="110" customFormat="1">
      <c r="A22" s="176"/>
      <c r="B22" s="177"/>
      <c r="C22" s="177"/>
      <c r="D22" s="177"/>
      <c r="E22" s="177"/>
      <c r="F22" s="178"/>
      <c r="G22" s="106"/>
      <c r="H22" s="106"/>
      <c r="I22" s="179"/>
      <c r="J22" s="107"/>
      <c r="K22" s="180">
        <f t="shared" si="0"/>
        <v>0</v>
      </c>
      <c r="L22" s="185"/>
      <c r="M22" s="180">
        <f t="shared" si="1"/>
        <v>0</v>
      </c>
      <c r="N22" s="180">
        <f t="shared" si="2"/>
        <v>0</v>
      </c>
      <c r="O22" s="182"/>
      <c r="P22" s="182"/>
      <c r="Q22" s="183"/>
      <c r="R22" s="184"/>
      <c r="S22" s="171">
        <f t="shared" si="3"/>
        <v>0</v>
      </c>
      <c r="T22" s="171" t="e">
        <f>VLOOKUP(O22,Справочник!B:G,6,0)</f>
        <v>#N/A</v>
      </c>
    </row>
    <row r="23" spans="1:20" s="110" customFormat="1">
      <c r="A23" s="176"/>
      <c r="B23" s="177"/>
      <c r="C23" s="177"/>
      <c r="D23" s="177"/>
      <c r="E23" s="177"/>
      <c r="F23" s="178"/>
      <c r="G23" s="106"/>
      <c r="H23" s="106"/>
      <c r="I23" s="179"/>
      <c r="J23" s="107"/>
      <c r="K23" s="180">
        <f t="shared" si="0"/>
        <v>0</v>
      </c>
      <c r="L23" s="185"/>
      <c r="M23" s="180">
        <f t="shared" si="1"/>
        <v>0</v>
      </c>
      <c r="N23" s="180">
        <f t="shared" si="2"/>
        <v>0</v>
      </c>
      <c r="O23" s="182"/>
      <c r="P23" s="182"/>
      <c r="Q23" s="183"/>
      <c r="R23" s="184"/>
      <c r="S23" s="171">
        <f t="shared" si="3"/>
        <v>0</v>
      </c>
      <c r="T23" s="171" t="e">
        <f>VLOOKUP(O23,Справочник!B:G,6,0)</f>
        <v>#N/A</v>
      </c>
    </row>
    <row r="24" spans="1:20" s="110" customFormat="1">
      <c r="A24" s="176"/>
      <c r="B24" s="177"/>
      <c r="C24" s="177"/>
      <c r="D24" s="177"/>
      <c r="E24" s="177"/>
      <c r="F24" s="178"/>
      <c r="G24" s="106"/>
      <c r="H24" s="106"/>
      <c r="I24" s="179"/>
      <c r="J24" s="107"/>
      <c r="K24" s="180">
        <f t="shared" si="0"/>
        <v>0</v>
      </c>
      <c r="L24" s="185"/>
      <c r="M24" s="180">
        <f t="shared" si="1"/>
        <v>0</v>
      </c>
      <c r="N24" s="180">
        <f t="shared" si="2"/>
        <v>0</v>
      </c>
      <c r="O24" s="182"/>
      <c r="P24" s="182"/>
      <c r="Q24" s="183"/>
      <c r="R24" s="184"/>
      <c r="S24" s="171">
        <f t="shared" si="3"/>
        <v>0</v>
      </c>
      <c r="T24" s="171" t="e">
        <f>VLOOKUP(O24,Справочник!B:G,6,0)</f>
        <v>#N/A</v>
      </c>
    </row>
    <row r="25" spans="1:20" s="110" customFormat="1">
      <c r="A25" s="210" t="str">
        <f>"ПОДЫТОГ " &amp; O20 &amp; ":"</f>
        <v>ПОДЫТОГ :</v>
      </c>
      <c r="B25" s="175"/>
      <c r="C25" s="175"/>
      <c r="D25" s="175"/>
      <c r="E25" s="175"/>
      <c r="F25" s="202"/>
      <c r="G25" s="192"/>
      <c r="H25" s="192"/>
      <c r="I25" s="203"/>
      <c r="J25" s="204"/>
      <c r="K25" s="204">
        <f>SUM(K20:K24)</f>
        <v>0</v>
      </c>
      <c r="L25" s="164"/>
      <c r="M25" s="204">
        <f>SUM(M20:M24)</f>
        <v>0</v>
      </c>
      <c r="N25" s="204">
        <f>SUM(N20:N24)</f>
        <v>0</v>
      </c>
      <c r="O25" s="173"/>
      <c r="P25" s="174"/>
      <c r="Q25" s="207"/>
      <c r="R25" s="195"/>
      <c r="S25" s="171"/>
      <c r="T25" s="171"/>
    </row>
    <row r="26" spans="1:20" s="110" customFormat="1">
      <c r="A26" s="176"/>
      <c r="B26" s="177"/>
      <c r="C26" s="177"/>
      <c r="D26" s="177"/>
      <c r="E26" s="177"/>
      <c r="F26" s="178"/>
      <c r="G26" s="106"/>
      <c r="H26" s="106"/>
      <c r="I26" s="179"/>
      <c r="J26" s="107"/>
      <c r="K26" s="180">
        <f t="shared" si="0"/>
        <v>0</v>
      </c>
      <c r="L26" s="185"/>
      <c r="M26" s="180">
        <f t="shared" si="1"/>
        <v>0</v>
      </c>
      <c r="N26" s="180">
        <f t="shared" si="2"/>
        <v>0</v>
      </c>
      <c r="O26" s="182"/>
      <c r="P26" s="182"/>
      <c r="Q26" s="183"/>
      <c r="R26" s="184"/>
      <c r="S26" s="171">
        <f t="shared" si="3"/>
        <v>0</v>
      </c>
      <c r="T26" s="171" t="e">
        <f>VLOOKUP(O26,Справочник!B:G,6,0)</f>
        <v>#N/A</v>
      </c>
    </row>
    <row r="27" spans="1:20" s="110" customFormat="1">
      <c r="A27" s="176"/>
      <c r="B27" s="177"/>
      <c r="C27" s="177"/>
      <c r="D27" s="177"/>
      <c r="E27" s="177"/>
      <c r="F27" s="178"/>
      <c r="G27" s="106"/>
      <c r="H27" s="106"/>
      <c r="I27" s="179"/>
      <c r="J27" s="107"/>
      <c r="K27" s="180">
        <f t="shared" si="0"/>
        <v>0</v>
      </c>
      <c r="L27" s="185"/>
      <c r="M27" s="180">
        <f t="shared" si="1"/>
        <v>0</v>
      </c>
      <c r="N27" s="180">
        <f t="shared" si="2"/>
        <v>0</v>
      </c>
      <c r="O27" s="182"/>
      <c r="P27" s="182"/>
      <c r="Q27" s="183"/>
      <c r="R27" s="184"/>
      <c r="S27" s="171">
        <f t="shared" si="3"/>
        <v>0</v>
      </c>
      <c r="T27" s="171" t="e">
        <f>VLOOKUP(O27,Справочник!B:G,6,0)</f>
        <v>#N/A</v>
      </c>
    </row>
    <row r="28" spans="1:20" s="110" customFormat="1">
      <c r="A28" s="176"/>
      <c r="B28" s="177"/>
      <c r="C28" s="177"/>
      <c r="D28" s="177"/>
      <c r="E28" s="177"/>
      <c r="F28" s="178"/>
      <c r="G28" s="106"/>
      <c r="H28" s="106"/>
      <c r="I28" s="179"/>
      <c r="J28" s="107"/>
      <c r="K28" s="180">
        <f t="shared" si="0"/>
        <v>0</v>
      </c>
      <c r="L28" s="185"/>
      <c r="M28" s="180">
        <f t="shared" si="1"/>
        <v>0</v>
      </c>
      <c r="N28" s="180">
        <f t="shared" si="2"/>
        <v>0</v>
      </c>
      <c r="O28" s="182"/>
      <c r="P28" s="182"/>
      <c r="Q28" s="183"/>
      <c r="R28" s="184"/>
      <c r="S28" s="171">
        <f t="shared" si="3"/>
        <v>0</v>
      </c>
      <c r="T28" s="171" t="e">
        <f>VLOOKUP(O28,Справочник!B:G,6,0)</f>
        <v>#N/A</v>
      </c>
    </row>
    <row r="29" spans="1:20" s="110" customFormat="1">
      <c r="A29" s="176"/>
      <c r="B29" s="177"/>
      <c r="C29" s="177"/>
      <c r="D29" s="177"/>
      <c r="E29" s="177"/>
      <c r="F29" s="178"/>
      <c r="G29" s="106"/>
      <c r="H29" s="106"/>
      <c r="I29" s="179"/>
      <c r="J29" s="107"/>
      <c r="K29" s="180">
        <f t="shared" si="0"/>
        <v>0</v>
      </c>
      <c r="L29" s="185"/>
      <c r="M29" s="180">
        <f t="shared" si="1"/>
        <v>0</v>
      </c>
      <c r="N29" s="180">
        <f t="shared" si="2"/>
        <v>0</v>
      </c>
      <c r="O29" s="182"/>
      <c r="P29" s="182"/>
      <c r="Q29" s="183"/>
      <c r="R29" s="184"/>
      <c r="S29" s="171">
        <f t="shared" si="3"/>
        <v>0</v>
      </c>
      <c r="T29" s="171" t="e">
        <f>VLOOKUP(O29,Справочник!B:G,6,0)</f>
        <v>#N/A</v>
      </c>
    </row>
    <row r="30" spans="1:20" s="110" customFormat="1">
      <c r="A30" s="176"/>
      <c r="B30" s="177"/>
      <c r="C30" s="177"/>
      <c r="D30" s="177"/>
      <c r="E30" s="177"/>
      <c r="F30" s="178"/>
      <c r="G30" s="106"/>
      <c r="H30" s="106"/>
      <c r="I30" s="179"/>
      <c r="J30" s="107"/>
      <c r="K30" s="180">
        <f t="shared" si="0"/>
        <v>0</v>
      </c>
      <c r="L30" s="185"/>
      <c r="M30" s="180">
        <f t="shared" si="1"/>
        <v>0</v>
      </c>
      <c r="N30" s="180">
        <f t="shared" si="2"/>
        <v>0</v>
      </c>
      <c r="O30" s="182"/>
      <c r="P30" s="182"/>
      <c r="Q30" s="183"/>
      <c r="R30" s="184"/>
      <c r="S30" s="171">
        <f t="shared" si="3"/>
        <v>0</v>
      </c>
      <c r="T30" s="171" t="e">
        <f>VLOOKUP(O30,Справочник!B:G,6,0)</f>
        <v>#N/A</v>
      </c>
    </row>
    <row r="31" spans="1:20" s="110" customFormat="1">
      <c r="A31" s="210" t="str">
        <f>"ПОДЫТОГ " &amp; O26 &amp; ":"</f>
        <v>ПОДЫТОГ :</v>
      </c>
      <c r="B31" s="175"/>
      <c r="C31" s="175"/>
      <c r="D31" s="175"/>
      <c r="E31" s="175"/>
      <c r="F31" s="202"/>
      <c r="G31" s="192"/>
      <c r="H31" s="192"/>
      <c r="I31" s="203"/>
      <c r="J31" s="204"/>
      <c r="K31" s="204">
        <f>SUM(K26:K30)</f>
        <v>0</v>
      </c>
      <c r="L31" s="164"/>
      <c r="M31" s="204">
        <f>SUM(M26:M30)</f>
        <v>0</v>
      </c>
      <c r="N31" s="204">
        <f>SUM(N26:N30)</f>
        <v>0</v>
      </c>
      <c r="O31" s="173"/>
      <c r="P31" s="174"/>
      <c r="Q31" s="207"/>
      <c r="R31" s="195"/>
      <c r="S31" s="171"/>
      <c r="T31" s="171"/>
    </row>
    <row r="32" spans="1:20" s="110" customFormat="1">
      <c r="A32" s="176"/>
      <c r="B32" s="177"/>
      <c r="C32" s="177"/>
      <c r="D32" s="177"/>
      <c r="E32" s="177"/>
      <c r="F32" s="178"/>
      <c r="G32" s="106"/>
      <c r="H32" s="106"/>
      <c r="I32" s="179"/>
      <c r="J32" s="107"/>
      <c r="K32" s="180">
        <f t="shared" si="0"/>
        <v>0</v>
      </c>
      <c r="L32" s="185"/>
      <c r="M32" s="180">
        <f t="shared" si="1"/>
        <v>0</v>
      </c>
      <c r="N32" s="180">
        <f t="shared" si="2"/>
        <v>0</v>
      </c>
      <c r="O32" s="182"/>
      <c r="P32" s="182"/>
      <c r="Q32" s="183"/>
      <c r="R32" s="184"/>
      <c r="S32" s="171">
        <f t="shared" si="3"/>
        <v>0</v>
      </c>
      <c r="T32" s="171" t="e">
        <f>VLOOKUP(O32,Справочник!B:G,6,0)</f>
        <v>#N/A</v>
      </c>
    </row>
    <row r="33" spans="1:20" s="110" customFormat="1">
      <c r="A33" s="176"/>
      <c r="B33" s="177"/>
      <c r="C33" s="177"/>
      <c r="D33" s="177"/>
      <c r="E33" s="177"/>
      <c r="F33" s="178"/>
      <c r="G33" s="106"/>
      <c r="H33" s="106"/>
      <c r="I33" s="179"/>
      <c r="J33" s="107"/>
      <c r="K33" s="180">
        <f t="shared" si="0"/>
        <v>0</v>
      </c>
      <c r="L33" s="185"/>
      <c r="M33" s="180">
        <f t="shared" si="1"/>
        <v>0</v>
      </c>
      <c r="N33" s="180">
        <f t="shared" si="2"/>
        <v>0</v>
      </c>
      <c r="O33" s="182"/>
      <c r="P33" s="182"/>
      <c r="Q33" s="183"/>
      <c r="R33" s="184"/>
      <c r="S33" s="171">
        <f t="shared" si="3"/>
        <v>0</v>
      </c>
      <c r="T33" s="171" t="e">
        <f>VLOOKUP(O33,Справочник!B:G,6,0)</f>
        <v>#N/A</v>
      </c>
    </row>
    <row r="34" spans="1:20" s="110" customFormat="1">
      <c r="A34" s="176"/>
      <c r="B34" s="177"/>
      <c r="C34" s="177"/>
      <c r="D34" s="177"/>
      <c r="E34" s="177"/>
      <c r="F34" s="178"/>
      <c r="G34" s="106"/>
      <c r="H34" s="106"/>
      <c r="I34" s="179"/>
      <c r="J34" s="107"/>
      <c r="K34" s="180">
        <f t="shared" si="0"/>
        <v>0</v>
      </c>
      <c r="L34" s="185"/>
      <c r="M34" s="180">
        <f t="shared" si="1"/>
        <v>0</v>
      </c>
      <c r="N34" s="180">
        <f t="shared" si="2"/>
        <v>0</v>
      </c>
      <c r="O34" s="182"/>
      <c r="P34" s="182"/>
      <c r="Q34" s="183"/>
      <c r="R34" s="184"/>
      <c r="S34" s="171">
        <f t="shared" si="3"/>
        <v>0</v>
      </c>
      <c r="T34" s="171" t="e">
        <f>VLOOKUP(O34,Справочник!B:G,6,0)</f>
        <v>#N/A</v>
      </c>
    </row>
    <row r="35" spans="1:20" s="110" customFormat="1">
      <c r="A35" s="176"/>
      <c r="B35" s="177"/>
      <c r="C35" s="177"/>
      <c r="D35" s="177"/>
      <c r="E35" s="177"/>
      <c r="F35" s="178"/>
      <c r="G35" s="106"/>
      <c r="H35" s="106"/>
      <c r="I35" s="179"/>
      <c r="J35" s="107"/>
      <c r="K35" s="180">
        <f t="shared" si="0"/>
        <v>0</v>
      </c>
      <c r="L35" s="185"/>
      <c r="M35" s="180">
        <f t="shared" si="1"/>
        <v>0</v>
      </c>
      <c r="N35" s="180">
        <f t="shared" si="2"/>
        <v>0</v>
      </c>
      <c r="O35" s="182"/>
      <c r="P35" s="182"/>
      <c r="Q35" s="183"/>
      <c r="R35" s="184"/>
      <c r="S35" s="171">
        <f t="shared" si="3"/>
        <v>0</v>
      </c>
      <c r="T35" s="171" t="e">
        <f>VLOOKUP(O35,Справочник!B:G,6,0)</f>
        <v>#N/A</v>
      </c>
    </row>
    <row r="36" spans="1:20" s="110" customFormat="1">
      <c r="A36" s="176"/>
      <c r="B36" s="177"/>
      <c r="C36" s="177"/>
      <c r="D36" s="177"/>
      <c r="E36" s="177"/>
      <c r="F36" s="178"/>
      <c r="G36" s="106"/>
      <c r="H36" s="106"/>
      <c r="I36" s="179"/>
      <c r="J36" s="107"/>
      <c r="K36" s="180">
        <f t="shared" si="0"/>
        <v>0</v>
      </c>
      <c r="L36" s="185"/>
      <c r="M36" s="180">
        <f t="shared" si="1"/>
        <v>0</v>
      </c>
      <c r="N36" s="180">
        <f t="shared" si="2"/>
        <v>0</v>
      </c>
      <c r="O36" s="182"/>
      <c r="P36" s="182"/>
      <c r="Q36" s="183"/>
      <c r="R36" s="184"/>
      <c r="S36" s="171">
        <f t="shared" si="3"/>
        <v>0</v>
      </c>
      <c r="T36" s="171" t="e">
        <f>VLOOKUP(O36,Справочник!B:G,6,0)</f>
        <v>#N/A</v>
      </c>
    </row>
    <row r="37" spans="1:20" s="110" customFormat="1">
      <c r="A37" s="210" t="str">
        <f>"ПОДЫТОГ " &amp; O32 &amp; ":"</f>
        <v>ПОДЫТОГ :</v>
      </c>
      <c r="B37" s="175"/>
      <c r="C37" s="175"/>
      <c r="D37" s="175"/>
      <c r="E37" s="175"/>
      <c r="F37" s="202"/>
      <c r="G37" s="192"/>
      <c r="H37" s="192"/>
      <c r="I37" s="203"/>
      <c r="J37" s="204"/>
      <c r="K37" s="204">
        <f>SUM(K32:K36)</f>
        <v>0</v>
      </c>
      <c r="L37" s="164"/>
      <c r="M37" s="204">
        <f>SUM(M32:M36)</f>
        <v>0</v>
      </c>
      <c r="N37" s="204">
        <f>SUM(N32:N36)</f>
        <v>0</v>
      </c>
      <c r="O37" s="173"/>
      <c r="P37" s="174"/>
      <c r="Q37" s="207"/>
      <c r="R37" s="195"/>
      <c r="S37" s="171"/>
      <c r="T37" s="171"/>
    </row>
    <row r="38" spans="1:20" s="110" customFormat="1">
      <c r="A38" s="176"/>
      <c r="B38" s="177"/>
      <c r="C38" s="177"/>
      <c r="D38" s="177"/>
      <c r="E38" s="177"/>
      <c r="F38" s="178"/>
      <c r="G38" s="106"/>
      <c r="H38" s="106"/>
      <c r="I38" s="179"/>
      <c r="J38" s="107"/>
      <c r="K38" s="180">
        <f t="shared" si="0"/>
        <v>0</v>
      </c>
      <c r="L38" s="185"/>
      <c r="M38" s="180">
        <f t="shared" si="1"/>
        <v>0</v>
      </c>
      <c r="N38" s="180">
        <f t="shared" si="2"/>
        <v>0</v>
      </c>
      <c r="O38" s="182"/>
      <c r="P38" s="182"/>
      <c r="Q38" s="183"/>
      <c r="R38" s="184"/>
      <c r="S38" s="171">
        <f t="shared" si="3"/>
        <v>0</v>
      </c>
      <c r="T38" s="171" t="e">
        <f>VLOOKUP(O38,Справочник!B:G,6,0)</f>
        <v>#N/A</v>
      </c>
    </row>
    <row r="39" spans="1:20" s="110" customFormat="1">
      <c r="A39" s="176"/>
      <c r="B39" s="177"/>
      <c r="C39" s="177"/>
      <c r="D39" s="177"/>
      <c r="E39" s="177"/>
      <c r="F39" s="178"/>
      <c r="G39" s="106"/>
      <c r="H39" s="106"/>
      <c r="I39" s="179"/>
      <c r="J39" s="107"/>
      <c r="K39" s="180">
        <f t="shared" si="0"/>
        <v>0</v>
      </c>
      <c r="L39" s="185"/>
      <c r="M39" s="180">
        <f t="shared" si="1"/>
        <v>0</v>
      </c>
      <c r="N39" s="180">
        <f t="shared" si="2"/>
        <v>0</v>
      </c>
      <c r="O39" s="182"/>
      <c r="P39" s="182"/>
      <c r="Q39" s="183"/>
      <c r="R39" s="184"/>
      <c r="S39" s="171">
        <f t="shared" si="3"/>
        <v>0</v>
      </c>
      <c r="T39" s="171" t="e">
        <f>VLOOKUP(O39,Справочник!B:G,6,0)</f>
        <v>#N/A</v>
      </c>
    </row>
    <row r="40" spans="1:20" s="110" customFormat="1">
      <c r="A40" s="176"/>
      <c r="B40" s="177"/>
      <c r="C40" s="177"/>
      <c r="D40" s="177"/>
      <c r="E40" s="177"/>
      <c r="F40" s="178"/>
      <c r="G40" s="106"/>
      <c r="H40" s="106"/>
      <c r="I40" s="179"/>
      <c r="J40" s="107"/>
      <c r="K40" s="180">
        <f t="shared" si="0"/>
        <v>0</v>
      </c>
      <c r="L40" s="185"/>
      <c r="M40" s="180">
        <f t="shared" si="1"/>
        <v>0</v>
      </c>
      <c r="N40" s="180">
        <f t="shared" si="2"/>
        <v>0</v>
      </c>
      <c r="O40" s="182"/>
      <c r="P40" s="182"/>
      <c r="Q40" s="183"/>
      <c r="R40" s="184"/>
      <c r="S40" s="171">
        <f t="shared" si="3"/>
        <v>0</v>
      </c>
      <c r="T40" s="171" t="e">
        <f>VLOOKUP(O40,Справочник!B:G,6,0)</f>
        <v>#N/A</v>
      </c>
    </row>
    <row r="41" spans="1:20" s="110" customFormat="1">
      <c r="A41" s="176"/>
      <c r="B41" s="177"/>
      <c r="C41" s="177"/>
      <c r="D41" s="177"/>
      <c r="E41" s="177"/>
      <c r="F41" s="178"/>
      <c r="G41" s="106"/>
      <c r="H41" s="106"/>
      <c r="I41" s="179"/>
      <c r="J41" s="107"/>
      <c r="K41" s="180">
        <f t="shared" si="0"/>
        <v>0</v>
      </c>
      <c r="L41" s="185"/>
      <c r="M41" s="180">
        <f t="shared" si="1"/>
        <v>0</v>
      </c>
      <c r="N41" s="180">
        <f t="shared" si="2"/>
        <v>0</v>
      </c>
      <c r="O41" s="182"/>
      <c r="P41" s="182"/>
      <c r="Q41" s="183"/>
      <c r="R41" s="184"/>
      <c r="S41" s="171">
        <f t="shared" si="3"/>
        <v>0</v>
      </c>
      <c r="T41" s="171" t="e">
        <f>VLOOKUP(O41,Справочник!B:G,6,0)</f>
        <v>#N/A</v>
      </c>
    </row>
    <row r="42" spans="1:20" s="110" customFormat="1">
      <c r="A42" s="176"/>
      <c r="B42" s="177"/>
      <c r="C42" s="177"/>
      <c r="D42" s="177"/>
      <c r="E42" s="177"/>
      <c r="F42" s="178"/>
      <c r="G42" s="106"/>
      <c r="H42" s="106"/>
      <c r="I42" s="179"/>
      <c r="J42" s="107"/>
      <c r="K42" s="180">
        <f t="shared" si="0"/>
        <v>0</v>
      </c>
      <c r="L42" s="185"/>
      <c r="M42" s="180">
        <f t="shared" si="1"/>
        <v>0</v>
      </c>
      <c r="N42" s="180">
        <f t="shared" si="2"/>
        <v>0</v>
      </c>
      <c r="O42" s="182"/>
      <c r="P42" s="182"/>
      <c r="Q42" s="183"/>
      <c r="R42" s="184"/>
      <c r="S42" s="171">
        <f t="shared" si="3"/>
        <v>0</v>
      </c>
      <c r="T42" s="171" t="e">
        <f>VLOOKUP(O42,Справочник!B:G,6,0)</f>
        <v>#N/A</v>
      </c>
    </row>
    <row r="43" spans="1:20" s="110" customFormat="1">
      <c r="A43" s="210" t="str">
        <f>"ПОДЫТОГ " &amp; O38 &amp; ":"</f>
        <v>ПОДЫТОГ :</v>
      </c>
      <c r="B43" s="175"/>
      <c r="C43" s="175"/>
      <c r="D43" s="175"/>
      <c r="E43" s="175"/>
      <c r="F43" s="202"/>
      <c r="G43" s="192"/>
      <c r="H43" s="192"/>
      <c r="I43" s="203"/>
      <c r="J43" s="204"/>
      <c r="K43" s="204">
        <f>SUM(K38:K42)</f>
        <v>0</v>
      </c>
      <c r="L43" s="164"/>
      <c r="M43" s="204">
        <f>SUM(M38:M42)</f>
        <v>0</v>
      </c>
      <c r="N43" s="204">
        <f>SUM(N38:N42)</f>
        <v>0</v>
      </c>
      <c r="O43" s="173"/>
      <c r="P43" s="174"/>
      <c r="Q43" s="207"/>
      <c r="R43" s="195"/>
      <c r="S43" s="171"/>
      <c r="T43" s="171"/>
    </row>
    <row r="44" spans="1:20" s="102" customFormat="1">
      <c r="A44" s="229" t="s">
        <v>13</v>
      </c>
      <c r="B44" s="230"/>
      <c r="C44" s="230"/>
      <c r="D44" s="230"/>
      <c r="E44" s="230"/>
      <c r="F44" s="230"/>
      <c r="G44" s="231"/>
      <c r="H44" s="231"/>
      <c r="I44" s="232"/>
      <c r="J44" s="233"/>
      <c r="K44" s="234">
        <f>SUM(K8:K43)</f>
        <v>0</v>
      </c>
      <c r="L44" s="235">
        <f>COUNTIF(L8:L43,"Без НДС")</f>
        <v>0</v>
      </c>
      <c r="M44" s="236">
        <f>SUM(M8:M43)</f>
        <v>0</v>
      </c>
      <c r="N44" s="237">
        <f t="shared" ref="N44" si="4">M44+K44</f>
        <v>0</v>
      </c>
      <c r="O44" s="237"/>
      <c r="P44" s="238"/>
      <c r="Q44" s="239"/>
      <c r="R44" s="240"/>
    </row>
    <row r="45" spans="1:20" s="102" customFormat="1">
      <c r="A45" s="241" t="e">
        <f ca="1">CONCATENATE("Итого на сумму: "&amp;FirstLetter(CurText(ROUND(N44,2),'Форма ввода Многосторонний'!C14)))</f>
        <v>#NAME?</v>
      </c>
      <c r="B45" s="242"/>
      <c r="C45" s="242"/>
      <c r="D45" s="242"/>
      <c r="E45" s="242"/>
      <c r="F45" s="242"/>
      <c r="G45" s="242"/>
      <c r="H45" s="242"/>
      <c r="I45" s="242"/>
      <c r="J45" s="242"/>
      <c r="K45" s="243"/>
      <c r="L45" s="243"/>
      <c r="M45" s="243"/>
      <c r="N45" s="243"/>
      <c r="O45" s="242"/>
      <c r="P45" s="242"/>
      <c r="Q45" s="242"/>
      <c r="R45" s="240"/>
    </row>
    <row r="46" spans="1:20" s="102" customFormat="1">
      <c r="A46" s="244" t="e">
        <f ca="1">CONCATENATE("в том числе НДС:  "&amp;FirstLetter(CurText(ROUND(M44,2),'Форма ввода Многосторонний'!C14)))</f>
        <v>#NAME?</v>
      </c>
      <c r="B46" s="245"/>
      <c r="C46" s="246"/>
      <c r="D46" s="246"/>
      <c r="E46" s="246"/>
      <c r="F46" s="247"/>
      <c r="G46" s="248"/>
      <c r="H46" s="248"/>
      <c r="I46" s="248"/>
      <c r="J46" s="248"/>
      <c r="K46" s="248"/>
      <c r="L46" s="248"/>
      <c r="M46" s="248"/>
      <c r="N46" s="248"/>
      <c r="O46" s="248"/>
      <c r="P46" s="248"/>
      <c r="Q46" s="249"/>
      <c r="R46" s="240"/>
    </row>
    <row r="47" spans="1:20" ht="15.75" customHeight="1">
      <c r="A47" s="129"/>
      <c r="B47" s="373"/>
      <c r="C47" s="373"/>
      <c r="D47" s="373"/>
      <c r="E47" s="373"/>
      <c r="F47" s="373"/>
      <c r="G47" s="373"/>
      <c r="H47" s="373"/>
      <c r="I47" s="373"/>
      <c r="J47" s="373"/>
      <c r="K47" s="373"/>
      <c r="L47" s="373"/>
      <c r="M47" s="373"/>
      <c r="N47" s="373"/>
      <c r="O47" s="373"/>
      <c r="P47" s="373"/>
      <c r="Q47" s="373"/>
    </row>
    <row r="48" spans="1:20">
      <c r="A48" s="103" t="s">
        <v>14</v>
      </c>
      <c r="B48" s="130" t="s">
        <v>15</v>
      </c>
      <c r="C48" s="129"/>
      <c r="D48" s="129"/>
      <c r="E48" s="129"/>
      <c r="F48" s="129"/>
      <c r="G48" s="129"/>
      <c r="H48" s="129"/>
      <c r="I48" s="129"/>
      <c r="J48" s="129"/>
      <c r="K48" s="129"/>
      <c r="L48" s="129"/>
      <c r="M48" s="129"/>
      <c r="N48" s="129"/>
      <c r="O48" s="129"/>
      <c r="P48" s="129"/>
      <c r="Q48" s="129"/>
    </row>
    <row r="49" spans="1:18">
      <c r="A49" s="103"/>
      <c r="B49" s="328" t="str">
        <f>IF('Форма ввода Многосторонний'!C19="Доставка до склада Покупателя (Грузополучателя), расположенного по адресу, указанному  в п.4.",'Форма ввода Многосторонний'!C19,CONCATENATE('Форма ввода Многосторонний'!C19,"
",'Форма ввода Многосторонний'!C18,))</f>
        <v xml:space="preserve">(Выпадающий список)
</v>
      </c>
      <c r="C49" s="328"/>
      <c r="D49" s="328"/>
      <c r="E49" s="328"/>
      <c r="F49" s="328"/>
      <c r="G49" s="328"/>
      <c r="H49" s="328"/>
      <c r="I49" s="328"/>
      <c r="J49" s="328"/>
      <c r="K49" s="328"/>
      <c r="L49" s="328"/>
      <c r="M49" s="328"/>
      <c r="N49" s="328"/>
      <c r="O49" s="328"/>
      <c r="P49" s="328"/>
      <c r="Q49" s="328"/>
      <c r="R49" s="328"/>
    </row>
    <row r="50" spans="1:18">
      <c r="A50" s="103" t="s">
        <v>16</v>
      </c>
      <c r="B50" s="130" t="s">
        <v>17</v>
      </c>
      <c r="C50" s="131"/>
      <c r="D50" s="131"/>
      <c r="E50" s="131"/>
      <c r="F50" s="131"/>
      <c r="G50" s="131"/>
      <c r="H50" s="131"/>
      <c r="I50" s="131"/>
      <c r="J50" s="131"/>
      <c r="K50" s="131"/>
      <c r="L50" s="131"/>
      <c r="M50" s="131"/>
      <c r="N50" s="131"/>
      <c r="O50" s="131"/>
      <c r="P50" s="131"/>
      <c r="Q50" s="131"/>
    </row>
    <row r="51" spans="1:18">
      <c r="A51" s="103"/>
      <c r="B51" s="372">
        <f>'Форма ввода Многосторонний'!C20</f>
        <v>0</v>
      </c>
      <c r="C51" s="372"/>
      <c r="D51" s="372"/>
      <c r="E51" s="372"/>
      <c r="F51" s="372"/>
      <c r="G51" s="372"/>
      <c r="H51" s="372"/>
      <c r="I51" s="372"/>
      <c r="J51" s="372"/>
      <c r="K51" s="372"/>
      <c r="L51" s="372"/>
      <c r="M51" s="372"/>
      <c r="N51" s="372"/>
      <c r="O51" s="372"/>
      <c r="P51" s="372"/>
      <c r="Q51" s="372"/>
      <c r="R51" s="372"/>
    </row>
    <row r="52" spans="1:18">
      <c r="A52" s="103" t="s">
        <v>18</v>
      </c>
      <c r="B52" s="130" t="s">
        <v>19</v>
      </c>
      <c r="C52" s="131"/>
      <c r="D52" s="131"/>
      <c r="E52" s="131"/>
      <c r="F52" s="131"/>
      <c r="G52" s="131"/>
      <c r="H52" s="131"/>
      <c r="I52" s="131"/>
      <c r="J52" s="131"/>
      <c r="K52" s="131"/>
      <c r="L52" s="131"/>
      <c r="M52" s="131"/>
      <c r="N52" s="131"/>
      <c r="O52" s="131"/>
      <c r="P52" s="131"/>
      <c r="Q52" s="131"/>
    </row>
    <row r="53" spans="1:18" ht="35.450000000000003" customHeight="1">
      <c r="A53" s="103"/>
      <c r="B53" s="328" t="s">
        <v>256</v>
      </c>
      <c r="C53" s="328"/>
      <c r="D53" s="328"/>
      <c r="E53" s="328"/>
      <c r="F53" s="328"/>
      <c r="G53" s="328"/>
      <c r="H53" s="328"/>
      <c r="I53" s="328"/>
      <c r="J53" s="328"/>
      <c r="K53" s="328"/>
      <c r="L53" s="328"/>
      <c r="M53" s="328"/>
      <c r="N53" s="328"/>
      <c r="O53" s="328"/>
      <c r="P53" s="328"/>
      <c r="Q53" s="328"/>
      <c r="R53" s="328"/>
    </row>
    <row r="54" spans="1:18" ht="73.5" hidden="1" customHeight="1">
      <c r="A54" s="103"/>
      <c r="B54" s="328">
        <f>'Форма ввода Многосторонний'!C22</f>
        <v>0</v>
      </c>
      <c r="C54" s="328"/>
      <c r="D54" s="328"/>
      <c r="E54" s="328"/>
      <c r="F54" s="328"/>
      <c r="G54" s="328"/>
      <c r="H54" s="328"/>
      <c r="I54" s="328"/>
      <c r="J54" s="328"/>
      <c r="K54" s="328"/>
      <c r="L54" s="328"/>
      <c r="M54" s="328"/>
      <c r="N54" s="328"/>
      <c r="O54" s="328"/>
      <c r="P54" s="328"/>
      <c r="Q54" s="328"/>
      <c r="R54" s="132"/>
    </row>
    <row r="55" spans="1:18" hidden="1">
      <c r="A55" s="103"/>
      <c r="B55" s="328"/>
      <c r="C55" s="328"/>
      <c r="D55" s="328"/>
      <c r="E55" s="328"/>
      <c r="F55" s="328"/>
      <c r="G55" s="328"/>
      <c r="H55" s="328"/>
      <c r="I55" s="328"/>
      <c r="J55" s="328"/>
      <c r="K55" s="328"/>
      <c r="L55" s="328"/>
      <c r="M55" s="328"/>
      <c r="N55" s="328"/>
      <c r="O55" s="328"/>
      <c r="P55" s="328"/>
      <c r="Q55" s="328"/>
      <c r="R55" s="132"/>
    </row>
    <row r="56" spans="1:18" hidden="1">
      <c r="A56" s="103"/>
      <c r="B56" s="328"/>
      <c r="C56" s="328"/>
      <c r="D56" s="328"/>
      <c r="E56" s="328"/>
      <c r="F56" s="328"/>
      <c r="G56" s="328"/>
      <c r="H56" s="328"/>
      <c r="I56" s="328"/>
      <c r="J56" s="328"/>
      <c r="K56" s="328"/>
      <c r="L56" s="328"/>
      <c r="M56" s="328"/>
      <c r="N56" s="328"/>
      <c r="O56" s="328"/>
      <c r="P56" s="328"/>
      <c r="Q56" s="328"/>
      <c r="R56" s="132"/>
    </row>
    <row r="57" spans="1:18" ht="35.450000000000003" customHeight="1">
      <c r="A57" s="103" t="s">
        <v>20</v>
      </c>
      <c r="B57" s="130" t="s">
        <v>21</v>
      </c>
      <c r="C57" s="328" t="s">
        <v>256</v>
      </c>
      <c r="D57" s="328"/>
      <c r="E57" s="328"/>
      <c r="F57" s="328"/>
      <c r="G57" s="328"/>
      <c r="H57" s="328"/>
      <c r="I57" s="328"/>
      <c r="J57" s="328"/>
      <c r="K57" s="328"/>
      <c r="L57" s="328"/>
      <c r="M57" s="328"/>
      <c r="N57" s="328"/>
      <c r="O57" s="328"/>
      <c r="P57" s="328"/>
      <c r="Q57" s="328"/>
      <c r="R57" s="328"/>
    </row>
    <row r="58" spans="1:18" ht="42.75" customHeight="1">
      <c r="A58" s="103" t="s">
        <v>22</v>
      </c>
      <c r="B58" s="130" t="s">
        <v>23</v>
      </c>
      <c r="C58" s="130"/>
      <c r="D58" s="130"/>
      <c r="E58" s="130"/>
      <c r="F58" s="130"/>
      <c r="G58" s="130"/>
      <c r="H58" s="130"/>
      <c r="I58" s="130"/>
      <c r="J58" s="130"/>
      <c r="K58" s="130"/>
      <c r="L58" s="130"/>
      <c r="M58" s="130"/>
      <c r="N58" s="130"/>
      <c r="O58" s="130"/>
      <c r="P58" s="130"/>
      <c r="Q58" s="130"/>
    </row>
    <row r="59" spans="1:18" ht="42.75" customHeight="1">
      <c r="A59" s="133" t="s">
        <v>24</v>
      </c>
      <c r="B59" s="328" t="str">
        <f>IF('Форма ввода Многосторонний'!C14="руб.","Оплата Товара производится в рублях.",CONCATENATE("Оплата Товара производится ",'Форма ввода Многосторонний'!C31))</f>
        <v>Оплата Товара производится (Выпадающий список)</v>
      </c>
      <c r="C59" s="328"/>
      <c r="D59" s="328"/>
      <c r="E59" s="328"/>
      <c r="F59" s="328"/>
      <c r="G59" s="328"/>
      <c r="H59" s="328"/>
      <c r="I59" s="328"/>
      <c r="J59" s="328"/>
      <c r="K59" s="328"/>
      <c r="L59" s="328"/>
      <c r="M59" s="328"/>
      <c r="N59" s="328"/>
      <c r="O59" s="328"/>
      <c r="P59" s="328"/>
      <c r="Q59" s="328"/>
      <c r="R59" s="328"/>
    </row>
    <row r="60" spans="1:18" ht="138.75" customHeight="1">
      <c r="A60" s="133" t="s">
        <v>25</v>
      </c>
      <c r="B60" s="329" t="str">
        <f ca="1">IF(OR('Форма ввода Многосторонний'!C39="(Выпадающий список)",'Форма ввода Многосторонний'!C39=""),'Форма ввода Многосторонний'!C33,'Форма ввода Многосторонний'!C40)</f>
        <v>Выберите порядок оплаты</v>
      </c>
      <c r="C60" s="329"/>
      <c r="D60" s="329"/>
      <c r="E60" s="329"/>
      <c r="F60" s="329"/>
      <c r="G60" s="329"/>
      <c r="H60" s="329"/>
      <c r="I60" s="329"/>
      <c r="J60" s="329"/>
      <c r="K60" s="329"/>
      <c r="L60" s="329"/>
      <c r="M60" s="329"/>
      <c r="N60" s="329"/>
      <c r="O60" s="329"/>
      <c r="P60" s="329"/>
      <c r="Q60" s="329"/>
      <c r="R60" s="329"/>
    </row>
    <row r="61" spans="1:18">
      <c r="A61" s="103" t="s">
        <v>26</v>
      </c>
      <c r="B61" s="330" t="s">
        <v>27</v>
      </c>
      <c r="C61" s="331"/>
      <c r="D61" s="331"/>
      <c r="E61" s="331"/>
      <c r="F61" s="331"/>
      <c r="G61" s="331"/>
      <c r="H61" s="331"/>
      <c r="I61" s="331"/>
      <c r="J61" s="331"/>
      <c r="K61" s="331"/>
      <c r="L61" s="331"/>
      <c r="M61" s="331"/>
      <c r="N61" s="331"/>
      <c r="O61" s="331"/>
      <c r="P61" s="331"/>
      <c r="Q61" s="331"/>
    </row>
    <row r="62" spans="1:18">
      <c r="A62" s="103" t="s">
        <v>28</v>
      </c>
      <c r="B62" s="333" t="s">
        <v>29</v>
      </c>
      <c r="C62" s="334"/>
      <c r="D62" s="319"/>
      <c r="E62" s="319"/>
      <c r="F62" s="319"/>
      <c r="G62" s="319"/>
      <c r="H62" s="319"/>
      <c r="I62" s="319"/>
      <c r="J62" s="319"/>
      <c r="K62" s="319"/>
      <c r="L62" s="319"/>
      <c r="M62" s="319"/>
      <c r="N62" s="319"/>
      <c r="O62" s="319"/>
      <c r="P62" s="319"/>
      <c r="Q62" s="319"/>
    </row>
    <row r="63" spans="1:18" ht="182.25" customHeight="1">
      <c r="A63" s="103"/>
      <c r="B63" s="333" t="str">
        <f>IF('Форма ввода Многосторонний'!D49="+",'Форма ввода Многосторонний'!C50&amp;CHAR(10)&amp;'Форма ввода Многосторонний'!C51&amp;CHAR(10)&amp;'Форма ввода Многосторонний'!C52&amp;CHAR(10)&amp;'Форма ввода Многосторонний'!C53&amp;CHAR(10)&amp;'Форма ввода Многосторонний'!C54,"")</f>
        <v xml:space="preserve">УПД
Товарно-транспортная накладная
Накладная по форме ТОРГ-12, счет-фактура
</v>
      </c>
      <c r="C63" s="334"/>
      <c r="D63" s="394"/>
      <c r="E63" s="394"/>
      <c r="F63" s="394"/>
      <c r="G63" s="394"/>
      <c r="H63" s="394"/>
      <c r="I63" s="394"/>
      <c r="J63" s="394"/>
      <c r="K63" s="394"/>
      <c r="L63" s="394"/>
      <c r="M63" s="394"/>
      <c r="N63" s="394"/>
      <c r="O63" s="394"/>
      <c r="P63" s="394"/>
      <c r="Q63" s="394"/>
      <c r="R63" s="394"/>
    </row>
    <row r="64" spans="1:18" ht="37.5">
      <c r="A64" s="320" t="s">
        <v>30</v>
      </c>
      <c r="B64" s="388" t="s">
        <v>31</v>
      </c>
      <c r="C64" s="334"/>
      <c r="D64" s="319"/>
      <c r="E64" s="319"/>
      <c r="F64" s="319"/>
      <c r="G64" s="319"/>
      <c r="H64" s="319"/>
      <c r="I64" s="319"/>
      <c r="J64" s="319"/>
      <c r="K64" s="319"/>
      <c r="L64" s="319"/>
      <c r="M64" s="319"/>
      <c r="N64" s="319"/>
      <c r="O64" s="319"/>
      <c r="P64" s="319"/>
      <c r="Q64" s="319"/>
    </row>
    <row r="65" spans="1:17" ht="143.44999999999999" customHeight="1">
      <c r="A65" s="103"/>
      <c r="B65" s="333" t="str">
        <f>IF('Форма ввода Многосторонний'!D55="+",'Форма ввода Многосторонний'!C56&amp;CHAR(10)&amp;'Форма ввода Многосторонний'!C57&amp;CHAR(10)&amp;'Форма ввода Многосторонний'!C58&amp;CHAR(10)&amp;'Форма ввода Многосторонний'!C59&amp;CHAR(10)&amp;'Форма ввода Многосторонний'!C60,"")</f>
        <v xml:space="preserve">Сертификат (паспорт) качества
</v>
      </c>
      <c r="C65" s="333"/>
      <c r="D65" s="333"/>
      <c r="E65" s="333"/>
      <c r="F65" s="333"/>
      <c r="G65" s="333"/>
      <c r="H65" s="333"/>
      <c r="I65" s="333"/>
      <c r="J65" s="333"/>
      <c r="K65" s="333"/>
      <c r="L65" s="333"/>
      <c r="M65" s="333"/>
      <c r="N65" s="333"/>
      <c r="O65" s="333"/>
      <c r="P65" s="333"/>
      <c r="Q65" s="333"/>
    </row>
    <row r="66" spans="1:17">
      <c r="A66" s="103" t="s">
        <v>32</v>
      </c>
      <c r="B66" s="371" t="s">
        <v>33</v>
      </c>
      <c r="C66" s="371"/>
      <c r="D66" s="371"/>
      <c r="E66" s="371"/>
      <c r="F66" s="371"/>
      <c r="G66" s="371"/>
      <c r="H66" s="371"/>
      <c r="I66" s="371"/>
      <c r="J66" s="371"/>
      <c r="K66" s="371"/>
      <c r="L66" s="371"/>
      <c r="M66" s="371"/>
      <c r="N66" s="371"/>
      <c r="O66" s="371"/>
      <c r="P66" s="371"/>
      <c r="Q66" s="371"/>
    </row>
    <row r="67" spans="1:17">
      <c r="A67" s="103"/>
      <c r="B67" s="370" t="str">
        <f>'Форма ввода Многосторонний'!C64</f>
        <v>(Выпадающий список)</v>
      </c>
      <c r="C67" s="370"/>
      <c r="D67" s="370"/>
      <c r="E67" s="370"/>
      <c r="F67" s="370"/>
      <c r="G67" s="370"/>
      <c r="H67" s="370"/>
      <c r="I67" s="370"/>
      <c r="J67" s="370"/>
      <c r="K67" s="370"/>
      <c r="L67" s="370"/>
      <c r="M67" s="370"/>
      <c r="N67" s="370"/>
      <c r="O67" s="370"/>
      <c r="P67" s="370"/>
      <c r="Q67" s="370"/>
    </row>
    <row r="68" spans="1:17">
      <c r="A68" s="103" t="s">
        <v>34</v>
      </c>
      <c r="B68" s="371" t="s">
        <v>35</v>
      </c>
      <c r="C68" s="328"/>
      <c r="D68" s="328"/>
      <c r="E68" s="328"/>
      <c r="F68" s="328"/>
      <c r="G68" s="328"/>
      <c r="H68" s="328"/>
      <c r="I68" s="328"/>
      <c r="J68" s="328"/>
      <c r="K68" s="328"/>
      <c r="L68" s="328"/>
      <c r="M68" s="328"/>
      <c r="N68" s="328"/>
      <c r="O68" s="328"/>
      <c r="P68" s="328"/>
      <c r="Q68" s="328"/>
    </row>
    <row r="69" spans="1:17">
      <c r="A69" s="103"/>
      <c r="B69" s="370" t="str">
        <f>'Форма ввода Многосторонний'!C29</f>
        <v>(Выпадающий список)</v>
      </c>
      <c r="C69" s="370"/>
      <c r="D69" s="370"/>
      <c r="E69" s="370"/>
      <c r="F69" s="370"/>
      <c r="G69" s="370"/>
      <c r="H69" s="370"/>
      <c r="I69" s="370"/>
      <c r="J69" s="370"/>
      <c r="K69" s="370"/>
      <c r="L69" s="370"/>
      <c r="M69" s="370"/>
      <c r="N69" s="370"/>
      <c r="O69" s="370"/>
      <c r="P69" s="370"/>
      <c r="Q69" s="370"/>
    </row>
    <row r="70" spans="1:17" ht="127.5" customHeight="1">
      <c r="A70" s="103" t="s">
        <v>36</v>
      </c>
      <c r="B70" s="328" t="s">
        <v>37</v>
      </c>
      <c r="C70" s="328"/>
      <c r="D70" s="328"/>
      <c r="E70" s="328"/>
      <c r="F70" s="328"/>
      <c r="G70" s="328"/>
      <c r="H70" s="328"/>
      <c r="I70" s="328"/>
      <c r="J70" s="328"/>
      <c r="K70" s="328"/>
      <c r="L70" s="328"/>
      <c r="M70" s="328"/>
      <c r="N70" s="328"/>
      <c r="O70" s="328"/>
      <c r="P70" s="328"/>
      <c r="Q70" s="328"/>
    </row>
    <row r="71" spans="1:17" ht="41.25" customHeight="1">
      <c r="A71" s="134" t="s">
        <v>38</v>
      </c>
      <c r="B71" s="328" t="str">
        <f>CONCATENATE("со стороны Поставщика: ",'Форма ввода Многосторонний'!C15)</f>
        <v xml:space="preserve">со стороны Поставщика: </v>
      </c>
      <c r="C71" s="328"/>
      <c r="D71" s="328"/>
      <c r="E71" s="328"/>
      <c r="F71" s="328"/>
      <c r="G71" s="328"/>
      <c r="H71" s="328"/>
      <c r="I71" s="328"/>
      <c r="J71" s="328"/>
      <c r="K71" s="328"/>
      <c r="L71" s="328"/>
      <c r="M71" s="328"/>
      <c r="N71" s="328"/>
      <c r="O71" s="328"/>
      <c r="P71" s="328"/>
      <c r="Q71" s="328"/>
    </row>
    <row r="72" spans="1:17" ht="48.75" customHeight="1">
      <c r="A72" s="134" t="s">
        <v>38</v>
      </c>
      <c r="B72" s="328" t="str">
        <f>CONCATENATE("со стороны Покупателя: ",'Форма ввода Многосторонний'!C16)</f>
        <v xml:space="preserve">со стороны Покупателя: </v>
      </c>
      <c r="C72" s="328"/>
      <c r="D72" s="328"/>
      <c r="E72" s="328"/>
      <c r="F72" s="328"/>
      <c r="G72" s="328"/>
      <c r="H72" s="328"/>
      <c r="I72" s="328"/>
      <c r="J72" s="328"/>
      <c r="K72" s="328"/>
      <c r="L72" s="328"/>
      <c r="M72" s="328"/>
      <c r="N72" s="328"/>
      <c r="O72" s="328"/>
      <c r="P72" s="328"/>
      <c r="Q72" s="328"/>
    </row>
    <row r="73" spans="1:17" ht="372.2" customHeight="1">
      <c r="A73" s="103" t="s">
        <v>39</v>
      </c>
      <c r="B73" s="332" t="str">
        <f>IF('Форма ввода Многосторонний'!C71="нет","В случае поставки Товара по истечении срока, указанного в п.5 настоящего дополнительного соглашения, Покупатель вправе отказаться от приемки Товара."&amp;"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соглашения."&amp;"
В случае поставки Товара по истечении срока, указанного в п.5 настоящего дополнительного соглашения, Покупатель вправе по своему усмотрению: отказаться от приемки Товара, либо принять Товар, "&amp;"поставленный по истечении срока, указанного в п.5 настоящего дополнительного соглашения на условиях, установленных в п.13 настоящего дополнительного соглашения. "&amp;"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на условиях, установленных в п.13 настоящего дополнительного соглашения."&amp;"
Поставщик обязан сообщить Покупателю и грузополучателю за 3 (три) рабочих дня до даты отгрузки Товара (по электронной почте) наименование, количество отгружаемого Товара и дату отгрузки.")</f>
        <v>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
В случае поставки Товара по истечении срока, указанного в п.5 настоящего дополнительного соглашения, Покупатель вправе по своему усмотрению: отказаться от приемки Товара, либо принять Товар, поставленный по истечении срока, указанного в п.5 настоящего дополнительного соглашения на условиях, установленных в п.13 настоящего дополнительного соглашения. 
При этом, если Покупатель не отправил уведомления об отказе в сроки, установленные п.12 настоящего дополнительного соглашения, Товар считается принятым Покупателем на условиях, установленных в п.13 настоящего дополнительного соглашения.
Поставщик обязан сообщить Покупателю и грузополучателю за 3 (три) рабочих дня до даты отгрузки Товара (по электронной почте) наименование, количество отгружаемого Товара и дату отгрузки.</v>
      </c>
      <c r="C73" s="332"/>
      <c r="D73" s="332"/>
      <c r="E73" s="332"/>
      <c r="F73" s="332"/>
      <c r="G73" s="332"/>
      <c r="H73" s="332"/>
      <c r="I73" s="332"/>
      <c r="J73" s="332"/>
      <c r="K73" s="332"/>
      <c r="L73" s="332"/>
      <c r="M73" s="332"/>
      <c r="N73" s="332"/>
      <c r="O73" s="332"/>
      <c r="P73" s="332"/>
      <c r="Q73" s="332"/>
    </row>
    <row r="74" spans="1:17" ht="111.75" customHeight="1">
      <c r="A74" s="103" t="s">
        <v>40</v>
      </c>
      <c r="B74" s="332" t="str">
        <f>'Форма ввода Многосторонний'!C66</f>
        <v>При отказе от принятия Товара Покупатель направляет Поставщику уведомление по электронной почте, не позднее 3 (Трех) рабочих дней с момента истечения срока поставки Товара, указанного в данном Дополнительном соглашении. При этом Поставщик:</v>
      </c>
      <c r="C74" s="332"/>
      <c r="D74" s="332"/>
      <c r="E74" s="332"/>
      <c r="F74" s="332"/>
      <c r="G74" s="332"/>
      <c r="H74" s="332"/>
      <c r="I74" s="332"/>
      <c r="J74" s="332"/>
      <c r="K74" s="332"/>
      <c r="L74" s="332"/>
      <c r="M74" s="332"/>
      <c r="N74" s="332"/>
      <c r="O74" s="332"/>
      <c r="P74" s="332"/>
      <c r="Q74" s="332"/>
    </row>
    <row r="75" spans="1:17" ht="189.75" customHeight="1">
      <c r="A75" s="135" t="s">
        <v>41</v>
      </c>
      <c r="B75" s="332" t="str">
        <f>'Форма ввода Многосторонний'!C68</f>
        <v>обязан в течение 2 (Двух)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v>
      </c>
      <c r="C75" s="332"/>
      <c r="D75" s="332"/>
      <c r="E75" s="332"/>
      <c r="F75" s="332"/>
      <c r="G75" s="332"/>
      <c r="H75" s="332"/>
      <c r="I75" s="332"/>
      <c r="J75" s="332"/>
      <c r="K75" s="332"/>
      <c r="L75" s="332"/>
      <c r="M75" s="332"/>
      <c r="N75" s="332"/>
      <c r="O75" s="332"/>
      <c r="P75" s="332"/>
      <c r="Q75" s="332"/>
    </row>
    <row r="76" spans="1:17" ht="118.5" customHeight="1">
      <c r="A76" s="135" t="s">
        <v>42</v>
      </c>
      <c r="B76" s="332" t="s">
        <v>43</v>
      </c>
      <c r="C76" s="332"/>
      <c r="D76" s="332"/>
      <c r="E76" s="332"/>
      <c r="F76" s="332"/>
      <c r="G76" s="332"/>
      <c r="H76" s="332"/>
      <c r="I76" s="332"/>
      <c r="J76" s="332"/>
      <c r="K76" s="332"/>
      <c r="L76" s="332"/>
      <c r="M76" s="332"/>
      <c r="N76" s="332"/>
      <c r="O76" s="332"/>
      <c r="P76" s="332"/>
      <c r="Q76" s="332"/>
    </row>
    <row r="77" spans="1:17" ht="83.25" customHeight="1">
      <c r="A77" s="135" t="s">
        <v>44</v>
      </c>
      <c r="B77" s="332" t="str">
        <f>IF('Форма ввода Многосторонний'!C71="нет","Скройте пункт 13, 13.1, 13.2, 13.3.","В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f>
        <v>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v>
      </c>
      <c r="C77" s="332"/>
      <c r="D77" s="332"/>
      <c r="E77" s="332"/>
      <c r="F77" s="332"/>
      <c r="G77" s="332"/>
      <c r="H77" s="332"/>
      <c r="I77" s="332"/>
      <c r="J77" s="332"/>
      <c r="K77" s="332"/>
      <c r="L77" s="332"/>
      <c r="M77" s="332"/>
      <c r="N77" s="332"/>
      <c r="O77" s="332"/>
      <c r="P77" s="332"/>
      <c r="Q77" s="332"/>
    </row>
    <row r="78" spans="1:17" s="102" customFormat="1" ht="77.25" customHeight="1">
      <c r="A78" s="135" t="s">
        <v>45</v>
      </c>
      <c r="B78" s="326" t="s">
        <v>46</v>
      </c>
      <c r="C78" s="326"/>
      <c r="D78" s="326"/>
      <c r="E78" s="326"/>
      <c r="F78" s="326"/>
      <c r="G78" s="326"/>
      <c r="H78" s="326"/>
      <c r="I78" s="326"/>
      <c r="J78" s="326"/>
      <c r="K78" s="326"/>
      <c r="L78" s="326"/>
      <c r="M78" s="326"/>
      <c r="N78" s="326"/>
      <c r="O78" s="327"/>
      <c r="P78" s="327"/>
      <c r="Q78" s="327"/>
    </row>
    <row r="79" spans="1:17" s="110" customFormat="1" ht="276">
      <c r="A79" s="136" t="str">
        <f t="shared" ref="A79:O79" si="5">A7</f>
        <v>№ п/п</v>
      </c>
      <c r="B79" s="136" t="str">
        <f t="shared" si="5"/>
        <v>Наименование Товара Поставщика</v>
      </c>
      <c r="C79" s="136" t="str">
        <f t="shared" si="5"/>
        <v>ГОСТ, ТУ, технические характеристики</v>
      </c>
      <c r="D79" s="136" t="str">
        <f t="shared" si="5"/>
        <v>Наименование Товара для отражения в учетных системах Покупателя</v>
      </c>
      <c r="E79" s="136" t="str">
        <f t="shared" si="5"/>
        <v>Код АСВ НСИ</v>
      </c>
      <c r="F79" s="136" t="str">
        <f t="shared" si="5"/>
        <v>№ техн. поз.</v>
      </c>
      <c r="G79" s="136" t="str">
        <f t="shared" si="5"/>
        <v>Ед. изм.</v>
      </c>
      <c r="H79" s="136" t="str">
        <f t="shared" si="5"/>
        <v>Производитель, Страна происхождения</v>
      </c>
      <c r="I79" s="136" t="str">
        <f t="shared" si="5"/>
        <v>Кол-во</v>
      </c>
      <c r="J79" s="136" t="str">
        <f t="shared" si="5"/>
        <v>Цена за единицу измерения без НДС, (Выпадающий список)</v>
      </c>
      <c r="K79" s="136" t="str">
        <f t="shared" si="5"/>
        <v>Стоимость без учета НДС, (Выпадающий список)</v>
      </c>
      <c r="L79" s="136" t="str">
        <f t="shared" si="5"/>
        <v>Ставка НДС,%</v>
      </c>
      <c r="M79" s="136" t="str">
        <f t="shared" si="5"/>
        <v>Сумма НДС (Выпадающий список)</v>
      </c>
      <c r="N79" s="136" t="str">
        <f t="shared" si="5"/>
        <v>Стоимость с учетом НДС, (Выпадающий список)</v>
      </c>
      <c r="O79" s="136" t="str">
        <f t="shared" si="5"/>
        <v>Покупатель</v>
      </c>
      <c r="P79" s="137"/>
      <c r="Q79" s="138"/>
    </row>
    <row r="80" spans="1:17" s="110" customFormat="1">
      <c r="A80" s="165">
        <f t="shared" ref="A80:I80" si="6">A8</f>
        <v>0</v>
      </c>
      <c r="B80" s="166">
        <f t="shared" si="6"/>
        <v>0</v>
      </c>
      <c r="C80" s="166">
        <f t="shared" si="6"/>
        <v>0</v>
      </c>
      <c r="D80" s="166">
        <f t="shared" si="6"/>
        <v>0</v>
      </c>
      <c r="E80" s="166">
        <f t="shared" si="6"/>
        <v>0</v>
      </c>
      <c r="F80" s="166">
        <f t="shared" si="6"/>
        <v>0</v>
      </c>
      <c r="G80" s="166">
        <f t="shared" si="6"/>
        <v>0</v>
      </c>
      <c r="H80" s="166">
        <f t="shared" si="6"/>
        <v>0</v>
      </c>
      <c r="I80" s="167">
        <f t="shared" si="6"/>
        <v>0</v>
      </c>
      <c r="J80" s="142">
        <f>J8*(1-'Форма ввода Многосторонний'!$C$72/100)</f>
        <v>0</v>
      </c>
      <c r="K80" s="108">
        <f>ROUND(I80*J80,2)</f>
        <v>0</v>
      </c>
      <c r="L80" s="169">
        <f>L8</f>
        <v>0</v>
      </c>
      <c r="M80" s="108">
        <f>IF(L80="Без НДС",0,ROUND(K80*L80,2))</f>
        <v>0</v>
      </c>
      <c r="N80" s="108">
        <f>M80+K80</f>
        <v>0</v>
      </c>
      <c r="O80" s="213">
        <f>O8</f>
        <v>0</v>
      </c>
      <c r="P80" s="144"/>
      <c r="Q80" s="145"/>
    </row>
    <row r="81" spans="1:17" s="110" customFormat="1">
      <c r="A81" s="165">
        <f t="shared" ref="A81:I81" si="7">A9</f>
        <v>0</v>
      </c>
      <c r="B81" s="166">
        <f t="shared" si="7"/>
        <v>0</v>
      </c>
      <c r="C81" s="166">
        <f t="shared" si="7"/>
        <v>0</v>
      </c>
      <c r="D81" s="166">
        <f t="shared" si="7"/>
        <v>0</v>
      </c>
      <c r="E81" s="166">
        <f t="shared" si="7"/>
        <v>0</v>
      </c>
      <c r="F81" s="166">
        <f t="shared" si="7"/>
        <v>0</v>
      </c>
      <c r="G81" s="166">
        <f t="shared" si="7"/>
        <v>0</v>
      </c>
      <c r="H81" s="166">
        <f t="shared" si="7"/>
        <v>0</v>
      </c>
      <c r="I81" s="167">
        <f t="shared" si="7"/>
        <v>0</v>
      </c>
      <c r="J81" s="142">
        <f>J9*(1-'Форма ввода Многосторонний'!$C$72/100)</f>
        <v>0</v>
      </c>
      <c r="K81" s="108">
        <f t="shared" ref="K81:K114" si="8">ROUND(I81*J81,2)</f>
        <v>0</v>
      </c>
      <c r="L81" s="169">
        <f>L9</f>
        <v>0</v>
      </c>
      <c r="M81" s="108">
        <f t="shared" ref="M81:M114" si="9">IF(L81="Без НДС",0,ROUND(K81*L81,2))</f>
        <v>0</v>
      </c>
      <c r="N81" s="108">
        <f t="shared" ref="N81:N114" si="10">M81+K81</f>
        <v>0</v>
      </c>
      <c r="O81" s="213">
        <f>O9</f>
        <v>0</v>
      </c>
      <c r="P81" s="144"/>
      <c r="Q81" s="145"/>
    </row>
    <row r="82" spans="1:17" s="110" customFormat="1">
      <c r="A82" s="165">
        <f t="shared" ref="A82:I82" si="11">A10</f>
        <v>0</v>
      </c>
      <c r="B82" s="166">
        <f t="shared" si="11"/>
        <v>0</v>
      </c>
      <c r="C82" s="166">
        <f t="shared" si="11"/>
        <v>0</v>
      </c>
      <c r="D82" s="166">
        <f t="shared" si="11"/>
        <v>0</v>
      </c>
      <c r="E82" s="166">
        <f t="shared" si="11"/>
        <v>0</v>
      </c>
      <c r="F82" s="166">
        <f t="shared" si="11"/>
        <v>0</v>
      </c>
      <c r="G82" s="166">
        <f t="shared" si="11"/>
        <v>0</v>
      </c>
      <c r="H82" s="166">
        <f t="shared" si="11"/>
        <v>0</v>
      </c>
      <c r="I82" s="167">
        <f t="shared" si="11"/>
        <v>0</v>
      </c>
      <c r="J82" s="142">
        <f>J10*(1-'Форма ввода Многосторонний'!$C$72/100)</f>
        <v>0</v>
      </c>
      <c r="K82" s="108">
        <f t="shared" si="8"/>
        <v>0</v>
      </c>
      <c r="L82" s="169">
        <f>L10</f>
        <v>0</v>
      </c>
      <c r="M82" s="108">
        <f t="shared" si="9"/>
        <v>0</v>
      </c>
      <c r="N82" s="108">
        <f t="shared" si="10"/>
        <v>0</v>
      </c>
      <c r="O82" s="213">
        <f>O10</f>
        <v>0</v>
      </c>
      <c r="P82" s="144"/>
      <c r="Q82" s="145"/>
    </row>
    <row r="83" spans="1:17" s="110" customFormat="1">
      <c r="A83" s="165">
        <f t="shared" ref="A83:I83" si="12">A11</f>
        <v>0</v>
      </c>
      <c r="B83" s="166">
        <f t="shared" si="12"/>
        <v>0</v>
      </c>
      <c r="C83" s="166">
        <f t="shared" si="12"/>
        <v>0</v>
      </c>
      <c r="D83" s="166">
        <f t="shared" si="12"/>
        <v>0</v>
      </c>
      <c r="E83" s="166">
        <f t="shared" si="12"/>
        <v>0</v>
      </c>
      <c r="F83" s="166">
        <f t="shared" si="12"/>
        <v>0</v>
      </c>
      <c r="G83" s="166">
        <f t="shared" si="12"/>
        <v>0</v>
      </c>
      <c r="H83" s="166">
        <f t="shared" si="12"/>
        <v>0</v>
      </c>
      <c r="I83" s="167">
        <f t="shared" si="12"/>
        <v>0</v>
      </c>
      <c r="J83" s="142">
        <f>J11*(1-'Форма ввода Многосторонний'!$C$72/100)</f>
        <v>0</v>
      </c>
      <c r="K83" s="108">
        <f t="shared" si="8"/>
        <v>0</v>
      </c>
      <c r="L83" s="169">
        <f>L11</f>
        <v>0</v>
      </c>
      <c r="M83" s="108">
        <f t="shared" si="9"/>
        <v>0</v>
      </c>
      <c r="N83" s="108">
        <f t="shared" si="10"/>
        <v>0</v>
      </c>
      <c r="O83" s="213">
        <f>O11</f>
        <v>0</v>
      </c>
      <c r="P83" s="144"/>
      <c r="Q83" s="145"/>
    </row>
    <row r="84" spans="1:17" s="110" customFormat="1">
      <c r="A84" s="165">
        <f t="shared" ref="A84:I84" si="13">A12</f>
        <v>0</v>
      </c>
      <c r="B84" s="166">
        <f t="shared" si="13"/>
        <v>0</v>
      </c>
      <c r="C84" s="166">
        <f t="shared" si="13"/>
        <v>0</v>
      </c>
      <c r="D84" s="166">
        <f t="shared" si="13"/>
        <v>0</v>
      </c>
      <c r="E84" s="166">
        <f t="shared" si="13"/>
        <v>0</v>
      </c>
      <c r="F84" s="166">
        <f t="shared" si="13"/>
        <v>0</v>
      </c>
      <c r="G84" s="166">
        <f t="shared" si="13"/>
        <v>0</v>
      </c>
      <c r="H84" s="166">
        <f t="shared" si="13"/>
        <v>0</v>
      </c>
      <c r="I84" s="167">
        <f t="shared" si="13"/>
        <v>0</v>
      </c>
      <c r="J84" s="142">
        <f>J12*(1-'Форма ввода Многосторонний'!$C$72/100)</f>
        <v>0</v>
      </c>
      <c r="K84" s="108">
        <f t="shared" si="8"/>
        <v>0</v>
      </c>
      <c r="L84" s="169">
        <f>L12</f>
        <v>0</v>
      </c>
      <c r="M84" s="108">
        <f t="shared" si="9"/>
        <v>0</v>
      </c>
      <c r="N84" s="108">
        <f t="shared" si="10"/>
        <v>0</v>
      </c>
      <c r="O84" s="213">
        <f>O12</f>
        <v>0</v>
      </c>
      <c r="P84" s="144"/>
      <c r="Q84" s="145"/>
    </row>
    <row r="85" spans="1:17" s="110" customFormat="1">
      <c r="A85" s="210" t="str">
        <f t="shared" ref="A85:A115" si="14">A13</f>
        <v>ПОДЫТОГ :</v>
      </c>
      <c r="B85" s="211"/>
      <c r="C85" s="211"/>
      <c r="D85" s="211"/>
      <c r="E85" s="211"/>
      <c r="F85" s="211"/>
      <c r="G85" s="211"/>
      <c r="H85" s="211"/>
      <c r="I85" s="212"/>
      <c r="J85" s="204"/>
      <c r="K85" s="204">
        <f>SUM(K80:K84)</f>
        <v>0</v>
      </c>
      <c r="L85" s="172"/>
      <c r="M85" s="204">
        <f t="shared" ref="M85:N85" si="15">SUM(M80:M84)</f>
        <v>0</v>
      </c>
      <c r="N85" s="204">
        <f t="shared" si="15"/>
        <v>0</v>
      </c>
      <c r="O85" s="214"/>
      <c r="P85" s="144"/>
      <c r="Q85" s="145"/>
    </row>
    <row r="86" spans="1:17" s="110" customFormat="1">
      <c r="A86" s="165">
        <f t="shared" si="14"/>
        <v>0</v>
      </c>
      <c r="B86" s="166">
        <f t="shared" ref="B86:I90" si="16">B14</f>
        <v>0</v>
      </c>
      <c r="C86" s="166">
        <f t="shared" si="16"/>
        <v>0</v>
      </c>
      <c r="D86" s="166">
        <f t="shared" si="16"/>
        <v>0</v>
      </c>
      <c r="E86" s="166">
        <f t="shared" si="16"/>
        <v>0</v>
      </c>
      <c r="F86" s="166">
        <f t="shared" si="16"/>
        <v>0</v>
      </c>
      <c r="G86" s="166">
        <f t="shared" si="16"/>
        <v>0</v>
      </c>
      <c r="H86" s="166">
        <f t="shared" si="16"/>
        <v>0</v>
      </c>
      <c r="I86" s="167">
        <f t="shared" si="16"/>
        <v>0</v>
      </c>
      <c r="J86" s="168">
        <f>J14*(1-'Форма ввода Многосторонний'!$C$72/100)</f>
        <v>0</v>
      </c>
      <c r="K86" s="108">
        <f t="shared" si="8"/>
        <v>0</v>
      </c>
      <c r="L86" s="169">
        <f>L14</f>
        <v>0</v>
      </c>
      <c r="M86" s="108">
        <f t="shared" si="9"/>
        <v>0</v>
      </c>
      <c r="N86" s="108">
        <f t="shared" si="10"/>
        <v>0</v>
      </c>
      <c r="O86" s="213">
        <f>O14</f>
        <v>0</v>
      </c>
      <c r="P86" s="144"/>
      <c r="Q86" s="145"/>
    </row>
    <row r="87" spans="1:17" s="110" customFormat="1">
      <c r="A87" s="165">
        <f t="shared" si="14"/>
        <v>0</v>
      </c>
      <c r="B87" s="166">
        <f t="shared" si="16"/>
        <v>0</v>
      </c>
      <c r="C87" s="166">
        <f t="shared" si="16"/>
        <v>0</v>
      </c>
      <c r="D87" s="166">
        <f t="shared" si="16"/>
        <v>0</v>
      </c>
      <c r="E87" s="166">
        <f t="shared" si="16"/>
        <v>0</v>
      </c>
      <c r="F87" s="166">
        <f t="shared" si="16"/>
        <v>0</v>
      </c>
      <c r="G87" s="166">
        <f t="shared" si="16"/>
        <v>0</v>
      </c>
      <c r="H87" s="166">
        <f t="shared" si="16"/>
        <v>0</v>
      </c>
      <c r="I87" s="167">
        <f t="shared" si="16"/>
        <v>0</v>
      </c>
      <c r="J87" s="168">
        <f>J15*(1-'Форма ввода Многосторонний'!$C$72/100)</f>
        <v>0</v>
      </c>
      <c r="K87" s="108">
        <f t="shared" si="8"/>
        <v>0</v>
      </c>
      <c r="L87" s="169">
        <f>L15</f>
        <v>0</v>
      </c>
      <c r="M87" s="108">
        <f t="shared" si="9"/>
        <v>0</v>
      </c>
      <c r="N87" s="108">
        <f t="shared" si="10"/>
        <v>0</v>
      </c>
      <c r="O87" s="213">
        <f>O15</f>
        <v>0</v>
      </c>
      <c r="P87" s="144"/>
      <c r="Q87" s="145"/>
    </row>
    <row r="88" spans="1:17" s="110" customFormat="1">
      <c r="A88" s="165">
        <f t="shared" si="14"/>
        <v>0</v>
      </c>
      <c r="B88" s="166">
        <f t="shared" si="16"/>
        <v>0</v>
      </c>
      <c r="C88" s="166">
        <f t="shared" si="16"/>
        <v>0</v>
      </c>
      <c r="D88" s="166">
        <f t="shared" si="16"/>
        <v>0</v>
      </c>
      <c r="E88" s="166">
        <f t="shared" si="16"/>
        <v>0</v>
      </c>
      <c r="F88" s="166">
        <f t="shared" si="16"/>
        <v>0</v>
      </c>
      <c r="G88" s="166">
        <f t="shared" si="16"/>
        <v>0</v>
      </c>
      <c r="H88" s="166">
        <f t="shared" si="16"/>
        <v>0</v>
      </c>
      <c r="I88" s="167">
        <f t="shared" si="16"/>
        <v>0</v>
      </c>
      <c r="J88" s="168">
        <f>J16*(1-'Форма ввода Многосторонний'!$C$72/100)</f>
        <v>0</v>
      </c>
      <c r="K88" s="108">
        <f t="shared" si="8"/>
        <v>0</v>
      </c>
      <c r="L88" s="169">
        <f>L16</f>
        <v>0</v>
      </c>
      <c r="M88" s="108">
        <f t="shared" si="9"/>
        <v>0</v>
      </c>
      <c r="N88" s="108">
        <f t="shared" si="10"/>
        <v>0</v>
      </c>
      <c r="O88" s="213">
        <f>O16</f>
        <v>0</v>
      </c>
      <c r="P88" s="144"/>
      <c r="Q88" s="145"/>
    </row>
    <row r="89" spans="1:17" s="110" customFormat="1">
      <c r="A89" s="165">
        <f t="shared" si="14"/>
        <v>0</v>
      </c>
      <c r="B89" s="166">
        <f t="shared" si="16"/>
        <v>0</v>
      </c>
      <c r="C89" s="166">
        <f t="shared" si="16"/>
        <v>0</v>
      </c>
      <c r="D89" s="166">
        <f t="shared" si="16"/>
        <v>0</v>
      </c>
      <c r="E89" s="166">
        <f t="shared" si="16"/>
        <v>0</v>
      </c>
      <c r="F89" s="166">
        <f t="shared" si="16"/>
        <v>0</v>
      </c>
      <c r="G89" s="166">
        <f t="shared" si="16"/>
        <v>0</v>
      </c>
      <c r="H89" s="166">
        <f t="shared" si="16"/>
        <v>0</v>
      </c>
      <c r="I89" s="167">
        <f t="shared" si="16"/>
        <v>0</v>
      </c>
      <c r="J89" s="168">
        <f>J17*(1-'Форма ввода Многосторонний'!$C$72/100)</f>
        <v>0</v>
      </c>
      <c r="K89" s="108">
        <f t="shared" si="8"/>
        <v>0</v>
      </c>
      <c r="L89" s="169">
        <f>L17</f>
        <v>0</v>
      </c>
      <c r="M89" s="108">
        <f t="shared" si="9"/>
        <v>0</v>
      </c>
      <c r="N89" s="108">
        <f t="shared" si="10"/>
        <v>0</v>
      </c>
      <c r="O89" s="213">
        <f>O17</f>
        <v>0</v>
      </c>
      <c r="P89" s="144"/>
      <c r="Q89" s="145"/>
    </row>
    <row r="90" spans="1:17" s="110" customFormat="1">
      <c r="A90" s="165">
        <f t="shared" si="14"/>
        <v>0</v>
      </c>
      <c r="B90" s="166">
        <f t="shared" si="16"/>
        <v>0</v>
      </c>
      <c r="C90" s="166">
        <f t="shared" si="16"/>
        <v>0</v>
      </c>
      <c r="D90" s="166">
        <f t="shared" si="16"/>
        <v>0</v>
      </c>
      <c r="E90" s="166">
        <f t="shared" si="16"/>
        <v>0</v>
      </c>
      <c r="F90" s="166">
        <f t="shared" si="16"/>
        <v>0</v>
      </c>
      <c r="G90" s="166">
        <f t="shared" si="16"/>
        <v>0</v>
      </c>
      <c r="H90" s="166">
        <f t="shared" si="16"/>
        <v>0</v>
      </c>
      <c r="I90" s="167">
        <f t="shared" si="16"/>
        <v>0</v>
      </c>
      <c r="J90" s="168">
        <f>J18*(1-'Форма ввода Многосторонний'!$C$72/100)</f>
        <v>0</v>
      </c>
      <c r="K90" s="108">
        <f t="shared" si="8"/>
        <v>0</v>
      </c>
      <c r="L90" s="169">
        <f>L18</f>
        <v>0</v>
      </c>
      <c r="M90" s="108">
        <f t="shared" si="9"/>
        <v>0</v>
      </c>
      <c r="N90" s="108">
        <f t="shared" si="10"/>
        <v>0</v>
      </c>
      <c r="O90" s="213">
        <f>O18</f>
        <v>0</v>
      </c>
      <c r="P90" s="144"/>
      <c r="Q90" s="145"/>
    </row>
    <row r="91" spans="1:17" s="110" customFormat="1">
      <c r="A91" s="210" t="str">
        <f t="shared" si="14"/>
        <v>ПОДЫТОГ :</v>
      </c>
      <c r="B91" s="211"/>
      <c r="C91" s="211"/>
      <c r="D91" s="211"/>
      <c r="E91" s="211"/>
      <c r="F91" s="211"/>
      <c r="G91" s="211"/>
      <c r="H91" s="211"/>
      <c r="I91" s="212"/>
      <c r="J91" s="204"/>
      <c r="K91" s="204">
        <f>SUM(K86:K90)</f>
        <v>0</v>
      </c>
      <c r="L91" s="172"/>
      <c r="M91" s="204">
        <f t="shared" ref="M91" si="17">SUM(M86:M90)</f>
        <v>0</v>
      </c>
      <c r="N91" s="204">
        <f t="shared" ref="N91" si="18">SUM(N86:N90)</f>
        <v>0</v>
      </c>
      <c r="O91" s="214"/>
      <c r="P91" s="144"/>
      <c r="Q91" s="145"/>
    </row>
    <row r="92" spans="1:17" s="110" customFormat="1">
      <c r="A92" s="165">
        <f t="shared" si="14"/>
        <v>0</v>
      </c>
      <c r="B92" s="166">
        <f t="shared" ref="B92:I96" si="19">B20</f>
        <v>0</v>
      </c>
      <c r="C92" s="166">
        <f t="shared" si="19"/>
        <v>0</v>
      </c>
      <c r="D92" s="166">
        <f t="shared" si="19"/>
        <v>0</v>
      </c>
      <c r="E92" s="166">
        <f t="shared" si="19"/>
        <v>0</v>
      </c>
      <c r="F92" s="166">
        <f t="shared" si="19"/>
        <v>0</v>
      </c>
      <c r="G92" s="166">
        <f t="shared" si="19"/>
        <v>0</v>
      </c>
      <c r="H92" s="166">
        <f t="shared" si="19"/>
        <v>0</v>
      </c>
      <c r="I92" s="167">
        <f t="shared" si="19"/>
        <v>0</v>
      </c>
      <c r="J92" s="168">
        <f>J20*(1-'Форма ввода Многосторонний'!$C$72/100)</f>
        <v>0</v>
      </c>
      <c r="K92" s="108">
        <f t="shared" si="8"/>
        <v>0</v>
      </c>
      <c r="L92" s="169">
        <f>L20</f>
        <v>0</v>
      </c>
      <c r="M92" s="108">
        <f t="shared" si="9"/>
        <v>0</v>
      </c>
      <c r="N92" s="108">
        <f t="shared" si="10"/>
        <v>0</v>
      </c>
      <c r="O92" s="213">
        <f>O20</f>
        <v>0</v>
      </c>
      <c r="P92" s="144"/>
      <c r="Q92" s="145"/>
    </row>
    <row r="93" spans="1:17" s="110" customFormat="1">
      <c r="A93" s="165">
        <f t="shared" si="14"/>
        <v>0</v>
      </c>
      <c r="B93" s="166">
        <f t="shared" si="19"/>
        <v>0</v>
      </c>
      <c r="C93" s="166">
        <f t="shared" si="19"/>
        <v>0</v>
      </c>
      <c r="D93" s="166">
        <f t="shared" si="19"/>
        <v>0</v>
      </c>
      <c r="E93" s="166">
        <f t="shared" si="19"/>
        <v>0</v>
      </c>
      <c r="F93" s="166">
        <f t="shared" si="19"/>
        <v>0</v>
      </c>
      <c r="G93" s="166">
        <f t="shared" si="19"/>
        <v>0</v>
      </c>
      <c r="H93" s="166">
        <f t="shared" si="19"/>
        <v>0</v>
      </c>
      <c r="I93" s="167">
        <f t="shared" si="19"/>
        <v>0</v>
      </c>
      <c r="J93" s="168">
        <f>J21*(1-'Форма ввода Многосторонний'!$C$72/100)</f>
        <v>0</v>
      </c>
      <c r="K93" s="108">
        <f t="shared" si="8"/>
        <v>0</v>
      </c>
      <c r="L93" s="169">
        <f>L21</f>
        <v>0</v>
      </c>
      <c r="M93" s="108">
        <f t="shared" si="9"/>
        <v>0</v>
      </c>
      <c r="N93" s="108">
        <f t="shared" si="10"/>
        <v>0</v>
      </c>
      <c r="O93" s="213">
        <f>O21</f>
        <v>0</v>
      </c>
      <c r="P93" s="144"/>
      <c r="Q93" s="145"/>
    </row>
    <row r="94" spans="1:17" s="110" customFormat="1">
      <c r="A94" s="165">
        <f t="shared" si="14"/>
        <v>0</v>
      </c>
      <c r="B94" s="166">
        <f t="shared" si="19"/>
        <v>0</v>
      </c>
      <c r="C94" s="166">
        <f t="shared" si="19"/>
        <v>0</v>
      </c>
      <c r="D94" s="166">
        <f t="shared" si="19"/>
        <v>0</v>
      </c>
      <c r="E94" s="166">
        <f t="shared" si="19"/>
        <v>0</v>
      </c>
      <c r="F94" s="166">
        <f t="shared" si="19"/>
        <v>0</v>
      </c>
      <c r="G94" s="166">
        <f t="shared" si="19"/>
        <v>0</v>
      </c>
      <c r="H94" s="166">
        <f t="shared" si="19"/>
        <v>0</v>
      </c>
      <c r="I94" s="167">
        <f t="shared" si="19"/>
        <v>0</v>
      </c>
      <c r="J94" s="168">
        <f>J22*(1-'Форма ввода Многосторонний'!$C$72/100)</f>
        <v>0</v>
      </c>
      <c r="K94" s="108">
        <f t="shared" si="8"/>
        <v>0</v>
      </c>
      <c r="L94" s="169">
        <f>L22</f>
        <v>0</v>
      </c>
      <c r="M94" s="108">
        <f t="shared" si="9"/>
        <v>0</v>
      </c>
      <c r="N94" s="108">
        <f t="shared" si="10"/>
        <v>0</v>
      </c>
      <c r="O94" s="213">
        <f>O22</f>
        <v>0</v>
      </c>
      <c r="P94" s="144"/>
      <c r="Q94" s="145"/>
    </row>
    <row r="95" spans="1:17" s="110" customFormat="1">
      <c r="A95" s="165">
        <f t="shared" si="14"/>
        <v>0</v>
      </c>
      <c r="B95" s="166">
        <f t="shared" si="19"/>
        <v>0</v>
      </c>
      <c r="C95" s="166">
        <f t="shared" si="19"/>
        <v>0</v>
      </c>
      <c r="D95" s="166">
        <f t="shared" si="19"/>
        <v>0</v>
      </c>
      <c r="E95" s="166">
        <f t="shared" si="19"/>
        <v>0</v>
      </c>
      <c r="F95" s="166">
        <f t="shared" si="19"/>
        <v>0</v>
      </c>
      <c r="G95" s="166">
        <f t="shared" si="19"/>
        <v>0</v>
      </c>
      <c r="H95" s="166">
        <f t="shared" si="19"/>
        <v>0</v>
      </c>
      <c r="I95" s="167">
        <f t="shared" si="19"/>
        <v>0</v>
      </c>
      <c r="J95" s="168">
        <f>J23*(1-'Форма ввода Многосторонний'!$C$72/100)</f>
        <v>0</v>
      </c>
      <c r="K95" s="108">
        <f t="shared" si="8"/>
        <v>0</v>
      </c>
      <c r="L95" s="169">
        <f>L23</f>
        <v>0</v>
      </c>
      <c r="M95" s="108">
        <f t="shared" si="9"/>
        <v>0</v>
      </c>
      <c r="N95" s="108">
        <f t="shared" si="10"/>
        <v>0</v>
      </c>
      <c r="O95" s="213">
        <f>O23</f>
        <v>0</v>
      </c>
      <c r="P95" s="144"/>
      <c r="Q95" s="145"/>
    </row>
    <row r="96" spans="1:17" s="110" customFormat="1">
      <c r="A96" s="165">
        <f t="shared" si="14"/>
        <v>0</v>
      </c>
      <c r="B96" s="166">
        <f t="shared" si="19"/>
        <v>0</v>
      </c>
      <c r="C96" s="166">
        <f t="shared" si="19"/>
        <v>0</v>
      </c>
      <c r="D96" s="166">
        <f t="shared" si="19"/>
        <v>0</v>
      </c>
      <c r="E96" s="166">
        <f t="shared" si="19"/>
        <v>0</v>
      </c>
      <c r="F96" s="166">
        <f t="shared" si="19"/>
        <v>0</v>
      </c>
      <c r="G96" s="166">
        <f t="shared" si="19"/>
        <v>0</v>
      </c>
      <c r="H96" s="166">
        <f t="shared" si="19"/>
        <v>0</v>
      </c>
      <c r="I96" s="167">
        <f t="shared" si="19"/>
        <v>0</v>
      </c>
      <c r="J96" s="168">
        <f>J24*(1-'Форма ввода Многосторонний'!$C$72/100)</f>
        <v>0</v>
      </c>
      <c r="K96" s="108">
        <f t="shared" si="8"/>
        <v>0</v>
      </c>
      <c r="L96" s="169">
        <f>L24</f>
        <v>0</v>
      </c>
      <c r="M96" s="108">
        <f t="shared" si="9"/>
        <v>0</v>
      </c>
      <c r="N96" s="108">
        <f t="shared" si="10"/>
        <v>0</v>
      </c>
      <c r="O96" s="213">
        <f>O24</f>
        <v>0</v>
      </c>
      <c r="P96" s="144"/>
      <c r="Q96" s="145"/>
    </row>
    <row r="97" spans="1:17" s="110" customFormat="1">
      <c r="A97" s="210" t="str">
        <f t="shared" si="14"/>
        <v>ПОДЫТОГ :</v>
      </c>
      <c r="B97" s="211"/>
      <c r="C97" s="211"/>
      <c r="D97" s="211"/>
      <c r="E97" s="211"/>
      <c r="F97" s="211"/>
      <c r="G97" s="211"/>
      <c r="H97" s="211"/>
      <c r="I97" s="212"/>
      <c r="J97" s="204"/>
      <c r="K97" s="204">
        <f>SUM(K92:K96)</f>
        <v>0</v>
      </c>
      <c r="L97" s="172"/>
      <c r="M97" s="204">
        <f t="shared" ref="M97" si="20">SUM(M92:M96)</f>
        <v>0</v>
      </c>
      <c r="N97" s="204">
        <f t="shared" ref="N97" si="21">SUM(N92:N96)</f>
        <v>0</v>
      </c>
      <c r="O97" s="214"/>
      <c r="P97" s="144"/>
      <c r="Q97" s="145"/>
    </row>
    <row r="98" spans="1:17" s="110" customFormat="1">
      <c r="A98" s="165">
        <f t="shared" si="14"/>
        <v>0</v>
      </c>
      <c r="B98" s="166">
        <f t="shared" ref="B98:I102" si="22">B26</f>
        <v>0</v>
      </c>
      <c r="C98" s="166">
        <f t="shared" si="22"/>
        <v>0</v>
      </c>
      <c r="D98" s="166">
        <f t="shared" si="22"/>
        <v>0</v>
      </c>
      <c r="E98" s="166">
        <f t="shared" si="22"/>
        <v>0</v>
      </c>
      <c r="F98" s="166">
        <f t="shared" si="22"/>
        <v>0</v>
      </c>
      <c r="G98" s="166">
        <f t="shared" si="22"/>
        <v>0</v>
      </c>
      <c r="H98" s="166">
        <f t="shared" si="22"/>
        <v>0</v>
      </c>
      <c r="I98" s="167">
        <f t="shared" si="22"/>
        <v>0</v>
      </c>
      <c r="J98" s="168">
        <f>J26*(1-'Форма ввода Многосторонний'!$C$72/100)</f>
        <v>0</v>
      </c>
      <c r="K98" s="108">
        <f t="shared" si="8"/>
        <v>0</v>
      </c>
      <c r="L98" s="169">
        <f>L26</f>
        <v>0</v>
      </c>
      <c r="M98" s="108">
        <f t="shared" si="9"/>
        <v>0</v>
      </c>
      <c r="N98" s="108">
        <f t="shared" si="10"/>
        <v>0</v>
      </c>
      <c r="O98" s="213">
        <f>O26</f>
        <v>0</v>
      </c>
      <c r="P98" s="144"/>
      <c r="Q98" s="145"/>
    </row>
    <row r="99" spans="1:17" s="110" customFormat="1">
      <c r="A99" s="165">
        <f t="shared" si="14"/>
        <v>0</v>
      </c>
      <c r="B99" s="166">
        <f t="shared" si="22"/>
        <v>0</v>
      </c>
      <c r="C99" s="166">
        <f t="shared" si="22"/>
        <v>0</v>
      </c>
      <c r="D99" s="166">
        <f t="shared" si="22"/>
        <v>0</v>
      </c>
      <c r="E99" s="166">
        <f t="shared" si="22"/>
        <v>0</v>
      </c>
      <c r="F99" s="166">
        <f t="shared" si="22"/>
        <v>0</v>
      </c>
      <c r="G99" s="166">
        <f t="shared" si="22"/>
        <v>0</v>
      </c>
      <c r="H99" s="166">
        <f t="shared" si="22"/>
        <v>0</v>
      </c>
      <c r="I99" s="167">
        <f t="shared" si="22"/>
        <v>0</v>
      </c>
      <c r="J99" s="168">
        <f>J27*(1-'Форма ввода Многосторонний'!$C$72/100)</f>
        <v>0</v>
      </c>
      <c r="K99" s="108">
        <f t="shared" si="8"/>
        <v>0</v>
      </c>
      <c r="L99" s="169">
        <f>L27</f>
        <v>0</v>
      </c>
      <c r="M99" s="108">
        <f t="shared" si="9"/>
        <v>0</v>
      </c>
      <c r="N99" s="108">
        <f t="shared" si="10"/>
        <v>0</v>
      </c>
      <c r="O99" s="213">
        <f>O27</f>
        <v>0</v>
      </c>
      <c r="P99" s="144"/>
      <c r="Q99" s="145"/>
    </row>
    <row r="100" spans="1:17" s="110" customFormat="1">
      <c r="A100" s="165">
        <f t="shared" si="14"/>
        <v>0</v>
      </c>
      <c r="B100" s="166">
        <f t="shared" si="22"/>
        <v>0</v>
      </c>
      <c r="C100" s="166">
        <f t="shared" si="22"/>
        <v>0</v>
      </c>
      <c r="D100" s="166">
        <f t="shared" si="22"/>
        <v>0</v>
      </c>
      <c r="E100" s="166">
        <f t="shared" si="22"/>
        <v>0</v>
      </c>
      <c r="F100" s="166">
        <f t="shared" si="22"/>
        <v>0</v>
      </c>
      <c r="G100" s="166">
        <f t="shared" si="22"/>
        <v>0</v>
      </c>
      <c r="H100" s="166">
        <f t="shared" si="22"/>
        <v>0</v>
      </c>
      <c r="I100" s="167">
        <f t="shared" si="22"/>
        <v>0</v>
      </c>
      <c r="J100" s="168">
        <f>J28*(1-'Форма ввода Многосторонний'!$C$72/100)</f>
        <v>0</v>
      </c>
      <c r="K100" s="108">
        <f t="shared" si="8"/>
        <v>0</v>
      </c>
      <c r="L100" s="169">
        <f>L28</f>
        <v>0</v>
      </c>
      <c r="M100" s="108">
        <f t="shared" si="9"/>
        <v>0</v>
      </c>
      <c r="N100" s="108">
        <f t="shared" si="10"/>
        <v>0</v>
      </c>
      <c r="O100" s="213">
        <f>O28</f>
        <v>0</v>
      </c>
      <c r="P100" s="144"/>
      <c r="Q100" s="145"/>
    </row>
    <row r="101" spans="1:17" s="110" customFormat="1">
      <c r="A101" s="165">
        <f t="shared" si="14"/>
        <v>0</v>
      </c>
      <c r="B101" s="166">
        <f t="shared" si="22"/>
        <v>0</v>
      </c>
      <c r="C101" s="166">
        <f t="shared" si="22"/>
        <v>0</v>
      </c>
      <c r="D101" s="166">
        <f t="shared" si="22"/>
        <v>0</v>
      </c>
      <c r="E101" s="166">
        <f t="shared" si="22"/>
        <v>0</v>
      </c>
      <c r="F101" s="166">
        <f t="shared" si="22"/>
        <v>0</v>
      </c>
      <c r="G101" s="166">
        <f t="shared" si="22"/>
        <v>0</v>
      </c>
      <c r="H101" s="166">
        <f t="shared" si="22"/>
        <v>0</v>
      </c>
      <c r="I101" s="167">
        <f t="shared" si="22"/>
        <v>0</v>
      </c>
      <c r="J101" s="168">
        <f>J29*(1-'Форма ввода Многосторонний'!$C$72/100)</f>
        <v>0</v>
      </c>
      <c r="K101" s="108">
        <f t="shared" si="8"/>
        <v>0</v>
      </c>
      <c r="L101" s="169">
        <f>L29</f>
        <v>0</v>
      </c>
      <c r="M101" s="108">
        <f t="shared" si="9"/>
        <v>0</v>
      </c>
      <c r="N101" s="108">
        <f t="shared" si="10"/>
        <v>0</v>
      </c>
      <c r="O101" s="213">
        <f>O29</f>
        <v>0</v>
      </c>
      <c r="P101" s="144"/>
      <c r="Q101" s="145"/>
    </row>
    <row r="102" spans="1:17" s="110" customFormat="1">
      <c r="A102" s="165">
        <f t="shared" si="14"/>
        <v>0</v>
      </c>
      <c r="B102" s="166">
        <f t="shared" si="22"/>
        <v>0</v>
      </c>
      <c r="C102" s="166">
        <f t="shared" si="22"/>
        <v>0</v>
      </c>
      <c r="D102" s="166">
        <f t="shared" si="22"/>
        <v>0</v>
      </c>
      <c r="E102" s="166">
        <f t="shared" si="22"/>
        <v>0</v>
      </c>
      <c r="F102" s="166">
        <f t="shared" si="22"/>
        <v>0</v>
      </c>
      <c r="G102" s="166">
        <f t="shared" si="22"/>
        <v>0</v>
      </c>
      <c r="H102" s="166">
        <f t="shared" si="22"/>
        <v>0</v>
      </c>
      <c r="I102" s="167">
        <f t="shared" si="22"/>
        <v>0</v>
      </c>
      <c r="J102" s="168">
        <f>J30*(1-'Форма ввода Многосторонний'!$C$72/100)</f>
        <v>0</v>
      </c>
      <c r="K102" s="108">
        <f t="shared" si="8"/>
        <v>0</v>
      </c>
      <c r="L102" s="169">
        <f>L30</f>
        <v>0</v>
      </c>
      <c r="M102" s="108">
        <f t="shared" si="9"/>
        <v>0</v>
      </c>
      <c r="N102" s="108">
        <f t="shared" si="10"/>
        <v>0</v>
      </c>
      <c r="O102" s="213">
        <f>O30</f>
        <v>0</v>
      </c>
      <c r="P102" s="144"/>
      <c r="Q102" s="145"/>
    </row>
    <row r="103" spans="1:17" s="110" customFormat="1">
      <c r="A103" s="210" t="str">
        <f t="shared" si="14"/>
        <v>ПОДЫТОГ :</v>
      </c>
      <c r="B103" s="211"/>
      <c r="C103" s="211"/>
      <c r="D103" s="211"/>
      <c r="E103" s="211"/>
      <c r="F103" s="211"/>
      <c r="G103" s="211"/>
      <c r="H103" s="211"/>
      <c r="I103" s="212"/>
      <c r="J103" s="204"/>
      <c r="K103" s="204">
        <f>SUM(K98:K102)</f>
        <v>0</v>
      </c>
      <c r="L103" s="172"/>
      <c r="M103" s="204">
        <f t="shared" ref="M103" si="23">SUM(M98:M102)</f>
        <v>0</v>
      </c>
      <c r="N103" s="204">
        <f t="shared" ref="N103" si="24">SUM(N98:N102)</f>
        <v>0</v>
      </c>
      <c r="O103" s="214"/>
      <c r="P103" s="144"/>
      <c r="Q103" s="145"/>
    </row>
    <row r="104" spans="1:17" s="110" customFormat="1">
      <c r="A104" s="165">
        <f t="shared" si="14"/>
        <v>0</v>
      </c>
      <c r="B104" s="166">
        <f t="shared" ref="B104:I108" si="25">B32</f>
        <v>0</v>
      </c>
      <c r="C104" s="166">
        <f t="shared" si="25"/>
        <v>0</v>
      </c>
      <c r="D104" s="166">
        <f t="shared" si="25"/>
        <v>0</v>
      </c>
      <c r="E104" s="166">
        <f t="shared" si="25"/>
        <v>0</v>
      </c>
      <c r="F104" s="166">
        <f t="shared" si="25"/>
        <v>0</v>
      </c>
      <c r="G104" s="166">
        <f t="shared" si="25"/>
        <v>0</v>
      </c>
      <c r="H104" s="166">
        <f t="shared" si="25"/>
        <v>0</v>
      </c>
      <c r="I104" s="167">
        <f t="shared" si="25"/>
        <v>0</v>
      </c>
      <c r="J104" s="168">
        <f>J32*(1-'Форма ввода Многосторонний'!$C$72/100)</f>
        <v>0</v>
      </c>
      <c r="K104" s="108">
        <f t="shared" si="8"/>
        <v>0</v>
      </c>
      <c r="L104" s="169">
        <f>L32</f>
        <v>0</v>
      </c>
      <c r="M104" s="108">
        <f t="shared" si="9"/>
        <v>0</v>
      </c>
      <c r="N104" s="108">
        <f t="shared" si="10"/>
        <v>0</v>
      </c>
      <c r="O104" s="213">
        <f>O32</f>
        <v>0</v>
      </c>
      <c r="P104" s="144"/>
      <c r="Q104" s="145"/>
    </row>
    <row r="105" spans="1:17" s="110" customFormat="1">
      <c r="A105" s="165">
        <f t="shared" si="14"/>
        <v>0</v>
      </c>
      <c r="B105" s="166">
        <f t="shared" si="25"/>
        <v>0</v>
      </c>
      <c r="C105" s="166">
        <f t="shared" si="25"/>
        <v>0</v>
      </c>
      <c r="D105" s="166">
        <f t="shared" si="25"/>
        <v>0</v>
      </c>
      <c r="E105" s="166">
        <f t="shared" si="25"/>
        <v>0</v>
      </c>
      <c r="F105" s="166">
        <f t="shared" si="25"/>
        <v>0</v>
      </c>
      <c r="G105" s="166">
        <f t="shared" si="25"/>
        <v>0</v>
      </c>
      <c r="H105" s="166">
        <f t="shared" si="25"/>
        <v>0</v>
      </c>
      <c r="I105" s="167">
        <f t="shared" si="25"/>
        <v>0</v>
      </c>
      <c r="J105" s="168">
        <f>J33*(1-'Форма ввода Многосторонний'!$C$72/100)</f>
        <v>0</v>
      </c>
      <c r="K105" s="108">
        <f t="shared" si="8"/>
        <v>0</v>
      </c>
      <c r="L105" s="169">
        <f>L33</f>
        <v>0</v>
      </c>
      <c r="M105" s="108">
        <f t="shared" si="9"/>
        <v>0</v>
      </c>
      <c r="N105" s="108">
        <f t="shared" si="10"/>
        <v>0</v>
      </c>
      <c r="O105" s="213">
        <f>O33</f>
        <v>0</v>
      </c>
      <c r="P105" s="144"/>
      <c r="Q105" s="145"/>
    </row>
    <row r="106" spans="1:17" s="110" customFormat="1">
      <c r="A106" s="165">
        <f t="shared" si="14"/>
        <v>0</v>
      </c>
      <c r="B106" s="166">
        <f t="shared" si="25"/>
        <v>0</v>
      </c>
      <c r="C106" s="166">
        <f t="shared" si="25"/>
        <v>0</v>
      </c>
      <c r="D106" s="166">
        <f t="shared" si="25"/>
        <v>0</v>
      </c>
      <c r="E106" s="166">
        <f t="shared" si="25"/>
        <v>0</v>
      </c>
      <c r="F106" s="166">
        <f t="shared" si="25"/>
        <v>0</v>
      </c>
      <c r="G106" s="166">
        <f t="shared" si="25"/>
        <v>0</v>
      </c>
      <c r="H106" s="166">
        <f t="shared" si="25"/>
        <v>0</v>
      </c>
      <c r="I106" s="167">
        <f t="shared" si="25"/>
        <v>0</v>
      </c>
      <c r="J106" s="168">
        <f>J34*(1-'Форма ввода Многосторонний'!$C$72/100)</f>
        <v>0</v>
      </c>
      <c r="K106" s="108">
        <f t="shared" si="8"/>
        <v>0</v>
      </c>
      <c r="L106" s="169">
        <f>L34</f>
        <v>0</v>
      </c>
      <c r="M106" s="108">
        <f t="shared" si="9"/>
        <v>0</v>
      </c>
      <c r="N106" s="108">
        <f t="shared" si="10"/>
        <v>0</v>
      </c>
      <c r="O106" s="213">
        <f>O34</f>
        <v>0</v>
      </c>
      <c r="P106" s="144"/>
      <c r="Q106" s="145"/>
    </row>
    <row r="107" spans="1:17" s="110" customFormat="1">
      <c r="A107" s="165">
        <f t="shared" si="14"/>
        <v>0</v>
      </c>
      <c r="B107" s="166">
        <f t="shared" si="25"/>
        <v>0</v>
      </c>
      <c r="C107" s="166">
        <f t="shared" si="25"/>
        <v>0</v>
      </c>
      <c r="D107" s="166">
        <f t="shared" si="25"/>
        <v>0</v>
      </c>
      <c r="E107" s="166">
        <f t="shared" si="25"/>
        <v>0</v>
      </c>
      <c r="F107" s="166">
        <f t="shared" si="25"/>
        <v>0</v>
      </c>
      <c r="G107" s="166">
        <f t="shared" si="25"/>
        <v>0</v>
      </c>
      <c r="H107" s="166">
        <f t="shared" si="25"/>
        <v>0</v>
      </c>
      <c r="I107" s="167">
        <f t="shared" si="25"/>
        <v>0</v>
      </c>
      <c r="J107" s="168">
        <f>J35*(1-'Форма ввода Многосторонний'!$C$72/100)</f>
        <v>0</v>
      </c>
      <c r="K107" s="108">
        <f t="shared" si="8"/>
        <v>0</v>
      </c>
      <c r="L107" s="169">
        <f>L35</f>
        <v>0</v>
      </c>
      <c r="M107" s="108">
        <f t="shared" si="9"/>
        <v>0</v>
      </c>
      <c r="N107" s="108">
        <f t="shared" si="10"/>
        <v>0</v>
      </c>
      <c r="O107" s="213">
        <f>O35</f>
        <v>0</v>
      </c>
      <c r="P107" s="144"/>
      <c r="Q107" s="145"/>
    </row>
    <row r="108" spans="1:17" s="110" customFormat="1">
      <c r="A108" s="165">
        <f t="shared" si="14"/>
        <v>0</v>
      </c>
      <c r="B108" s="166">
        <f t="shared" si="25"/>
        <v>0</v>
      </c>
      <c r="C108" s="166">
        <f t="shared" si="25"/>
        <v>0</v>
      </c>
      <c r="D108" s="166">
        <f t="shared" si="25"/>
        <v>0</v>
      </c>
      <c r="E108" s="166">
        <f t="shared" si="25"/>
        <v>0</v>
      </c>
      <c r="F108" s="166">
        <f t="shared" si="25"/>
        <v>0</v>
      </c>
      <c r="G108" s="166">
        <f t="shared" si="25"/>
        <v>0</v>
      </c>
      <c r="H108" s="166">
        <f t="shared" si="25"/>
        <v>0</v>
      </c>
      <c r="I108" s="167">
        <f t="shared" si="25"/>
        <v>0</v>
      </c>
      <c r="J108" s="168">
        <f>J36*(1-'Форма ввода Многосторонний'!$C$72/100)</f>
        <v>0</v>
      </c>
      <c r="K108" s="108">
        <f t="shared" si="8"/>
        <v>0</v>
      </c>
      <c r="L108" s="169">
        <f>L36</f>
        <v>0</v>
      </c>
      <c r="M108" s="108">
        <f t="shared" si="9"/>
        <v>0</v>
      </c>
      <c r="N108" s="108">
        <f t="shared" si="10"/>
        <v>0</v>
      </c>
      <c r="O108" s="213">
        <f>O36</f>
        <v>0</v>
      </c>
      <c r="P108" s="144"/>
      <c r="Q108" s="145"/>
    </row>
    <row r="109" spans="1:17" s="110" customFormat="1">
      <c r="A109" s="210" t="str">
        <f t="shared" si="14"/>
        <v>ПОДЫТОГ :</v>
      </c>
      <c r="B109" s="211"/>
      <c r="C109" s="211"/>
      <c r="D109" s="211"/>
      <c r="E109" s="211"/>
      <c r="F109" s="211"/>
      <c r="G109" s="211"/>
      <c r="H109" s="211"/>
      <c r="I109" s="212"/>
      <c r="J109" s="204"/>
      <c r="K109" s="204">
        <f>SUM(K104:K108)</f>
        <v>0</v>
      </c>
      <c r="L109" s="172"/>
      <c r="M109" s="204">
        <f t="shared" ref="M109" si="26">SUM(M104:M108)</f>
        <v>0</v>
      </c>
      <c r="N109" s="204">
        <f t="shared" ref="N109" si="27">SUM(N104:N108)</f>
        <v>0</v>
      </c>
      <c r="O109" s="214"/>
      <c r="P109" s="144"/>
      <c r="Q109" s="145"/>
    </row>
    <row r="110" spans="1:17" s="110" customFormat="1">
      <c r="A110" s="165">
        <f t="shared" si="14"/>
        <v>0</v>
      </c>
      <c r="B110" s="166">
        <f t="shared" ref="B110:I114" si="28">B38</f>
        <v>0</v>
      </c>
      <c r="C110" s="166">
        <f t="shared" si="28"/>
        <v>0</v>
      </c>
      <c r="D110" s="166">
        <f t="shared" si="28"/>
        <v>0</v>
      </c>
      <c r="E110" s="166">
        <f t="shared" si="28"/>
        <v>0</v>
      </c>
      <c r="F110" s="166">
        <f t="shared" si="28"/>
        <v>0</v>
      </c>
      <c r="G110" s="166">
        <f t="shared" si="28"/>
        <v>0</v>
      </c>
      <c r="H110" s="166">
        <f t="shared" si="28"/>
        <v>0</v>
      </c>
      <c r="I110" s="167">
        <f t="shared" si="28"/>
        <v>0</v>
      </c>
      <c r="J110" s="168">
        <f>J38*(1-'Форма ввода Многосторонний'!$C$72/100)</f>
        <v>0</v>
      </c>
      <c r="K110" s="108">
        <f t="shared" si="8"/>
        <v>0</v>
      </c>
      <c r="L110" s="169">
        <f>L38</f>
        <v>0</v>
      </c>
      <c r="M110" s="108">
        <f t="shared" si="9"/>
        <v>0</v>
      </c>
      <c r="N110" s="108">
        <f t="shared" si="10"/>
        <v>0</v>
      </c>
      <c r="O110" s="213">
        <f>O38</f>
        <v>0</v>
      </c>
      <c r="P110" s="144"/>
      <c r="Q110" s="145"/>
    </row>
    <row r="111" spans="1:17" s="110" customFormat="1">
      <c r="A111" s="165">
        <f t="shared" si="14"/>
        <v>0</v>
      </c>
      <c r="B111" s="166">
        <f t="shared" si="28"/>
        <v>0</v>
      </c>
      <c r="C111" s="166">
        <f t="shared" si="28"/>
        <v>0</v>
      </c>
      <c r="D111" s="166">
        <f t="shared" si="28"/>
        <v>0</v>
      </c>
      <c r="E111" s="166">
        <f t="shared" si="28"/>
        <v>0</v>
      </c>
      <c r="F111" s="166">
        <f t="shared" si="28"/>
        <v>0</v>
      </c>
      <c r="G111" s="166">
        <f t="shared" si="28"/>
        <v>0</v>
      </c>
      <c r="H111" s="166">
        <f t="shared" si="28"/>
        <v>0</v>
      </c>
      <c r="I111" s="167">
        <f t="shared" si="28"/>
        <v>0</v>
      </c>
      <c r="J111" s="168">
        <f>J39*(1-'Форма ввода Многосторонний'!$C$72/100)</f>
        <v>0</v>
      </c>
      <c r="K111" s="108">
        <f t="shared" si="8"/>
        <v>0</v>
      </c>
      <c r="L111" s="169">
        <f>L39</f>
        <v>0</v>
      </c>
      <c r="M111" s="108">
        <f t="shared" si="9"/>
        <v>0</v>
      </c>
      <c r="N111" s="108">
        <f t="shared" si="10"/>
        <v>0</v>
      </c>
      <c r="O111" s="213">
        <f>O39</f>
        <v>0</v>
      </c>
      <c r="P111" s="144"/>
      <c r="Q111" s="145"/>
    </row>
    <row r="112" spans="1:17" s="110" customFormat="1">
      <c r="A112" s="165">
        <f t="shared" si="14"/>
        <v>0</v>
      </c>
      <c r="B112" s="166">
        <f t="shared" si="28"/>
        <v>0</v>
      </c>
      <c r="C112" s="166">
        <f t="shared" si="28"/>
        <v>0</v>
      </c>
      <c r="D112" s="166">
        <f t="shared" si="28"/>
        <v>0</v>
      </c>
      <c r="E112" s="166">
        <f t="shared" si="28"/>
        <v>0</v>
      </c>
      <c r="F112" s="166">
        <f t="shared" si="28"/>
        <v>0</v>
      </c>
      <c r="G112" s="166">
        <f t="shared" si="28"/>
        <v>0</v>
      </c>
      <c r="H112" s="166">
        <f t="shared" si="28"/>
        <v>0</v>
      </c>
      <c r="I112" s="167">
        <f t="shared" si="28"/>
        <v>0</v>
      </c>
      <c r="J112" s="168">
        <f>J40*(1-'Форма ввода Многосторонний'!$C$72/100)</f>
        <v>0</v>
      </c>
      <c r="K112" s="108">
        <f t="shared" si="8"/>
        <v>0</v>
      </c>
      <c r="L112" s="169">
        <f>L40</f>
        <v>0</v>
      </c>
      <c r="M112" s="108">
        <f t="shared" si="9"/>
        <v>0</v>
      </c>
      <c r="N112" s="108">
        <f t="shared" si="10"/>
        <v>0</v>
      </c>
      <c r="O112" s="213">
        <f>O40</f>
        <v>0</v>
      </c>
      <c r="P112" s="144"/>
      <c r="Q112" s="145"/>
    </row>
    <row r="113" spans="1:17" s="110" customFormat="1">
      <c r="A113" s="165">
        <f t="shared" si="14"/>
        <v>0</v>
      </c>
      <c r="B113" s="166">
        <f t="shared" si="28"/>
        <v>0</v>
      </c>
      <c r="C113" s="166">
        <f t="shared" si="28"/>
        <v>0</v>
      </c>
      <c r="D113" s="166">
        <f t="shared" si="28"/>
        <v>0</v>
      </c>
      <c r="E113" s="166">
        <f t="shared" si="28"/>
        <v>0</v>
      </c>
      <c r="F113" s="166">
        <f t="shared" si="28"/>
        <v>0</v>
      </c>
      <c r="G113" s="166">
        <f t="shared" si="28"/>
        <v>0</v>
      </c>
      <c r="H113" s="166">
        <f t="shared" si="28"/>
        <v>0</v>
      </c>
      <c r="I113" s="167">
        <f t="shared" si="28"/>
        <v>0</v>
      </c>
      <c r="J113" s="168">
        <f>J41*(1-'Форма ввода Многосторонний'!$C$72/100)</f>
        <v>0</v>
      </c>
      <c r="K113" s="108">
        <f t="shared" si="8"/>
        <v>0</v>
      </c>
      <c r="L113" s="169">
        <f>L41</f>
        <v>0</v>
      </c>
      <c r="M113" s="108">
        <f t="shared" si="9"/>
        <v>0</v>
      </c>
      <c r="N113" s="108">
        <f t="shared" si="10"/>
        <v>0</v>
      </c>
      <c r="O113" s="213">
        <f>O41</f>
        <v>0</v>
      </c>
      <c r="P113" s="144"/>
      <c r="Q113" s="145"/>
    </row>
    <row r="114" spans="1:17" s="110" customFormat="1">
      <c r="A114" s="165">
        <f t="shared" si="14"/>
        <v>0</v>
      </c>
      <c r="B114" s="166">
        <f t="shared" si="28"/>
        <v>0</v>
      </c>
      <c r="C114" s="166">
        <f t="shared" si="28"/>
        <v>0</v>
      </c>
      <c r="D114" s="166">
        <f t="shared" si="28"/>
        <v>0</v>
      </c>
      <c r="E114" s="166">
        <f t="shared" si="28"/>
        <v>0</v>
      </c>
      <c r="F114" s="166">
        <f t="shared" si="28"/>
        <v>0</v>
      </c>
      <c r="G114" s="166">
        <f t="shared" si="28"/>
        <v>0</v>
      </c>
      <c r="H114" s="166">
        <f t="shared" si="28"/>
        <v>0</v>
      </c>
      <c r="I114" s="167">
        <f t="shared" si="28"/>
        <v>0</v>
      </c>
      <c r="J114" s="168">
        <f>J42*(1-'Форма ввода Многосторонний'!$C$72/100)</f>
        <v>0</v>
      </c>
      <c r="K114" s="108">
        <f t="shared" si="8"/>
        <v>0</v>
      </c>
      <c r="L114" s="169">
        <f>L42</f>
        <v>0</v>
      </c>
      <c r="M114" s="108">
        <f t="shared" si="9"/>
        <v>0</v>
      </c>
      <c r="N114" s="108">
        <f t="shared" si="10"/>
        <v>0</v>
      </c>
      <c r="O114" s="213">
        <f>O42</f>
        <v>0</v>
      </c>
      <c r="P114" s="144"/>
      <c r="Q114" s="145"/>
    </row>
    <row r="115" spans="1:17" s="110" customFormat="1">
      <c r="A115" s="210" t="str">
        <f t="shared" si="14"/>
        <v>ПОДЫТОГ :</v>
      </c>
      <c r="B115" s="211"/>
      <c r="C115" s="211"/>
      <c r="D115" s="211"/>
      <c r="E115" s="211"/>
      <c r="F115" s="211"/>
      <c r="G115" s="211"/>
      <c r="H115" s="211"/>
      <c r="I115" s="212"/>
      <c r="J115" s="204"/>
      <c r="K115" s="204">
        <f>SUM(K110:K114)</f>
        <v>0</v>
      </c>
      <c r="L115" s="172"/>
      <c r="M115" s="204">
        <f t="shared" ref="M115" si="29">SUM(M110:M114)</f>
        <v>0</v>
      </c>
      <c r="N115" s="204">
        <f t="shared" ref="N115" si="30">SUM(N110:N114)</f>
        <v>0</v>
      </c>
      <c r="O115" s="214"/>
      <c r="P115" s="144"/>
      <c r="Q115" s="145"/>
    </row>
    <row r="116" spans="1:17">
      <c r="A116" s="146"/>
      <c r="B116" s="146"/>
      <c r="C116" s="146"/>
      <c r="D116" s="146"/>
      <c r="E116" s="146"/>
      <c r="F116" s="146"/>
      <c r="G116" s="147"/>
      <c r="H116" s="147"/>
      <c r="I116" s="147"/>
      <c r="J116" s="147"/>
      <c r="K116" s="148"/>
      <c r="L116" s="148"/>
      <c r="M116" s="147"/>
      <c r="N116" s="147"/>
      <c r="O116" s="147"/>
      <c r="P116" s="145"/>
      <c r="Q116" s="145"/>
    </row>
    <row r="117" spans="1:17" s="102" customFormat="1" ht="72" customHeight="1">
      <c r="A117" s="135" t="s">
        <v>47</v>
      </c>
      <c r="B117" s="326" t="s">
        <v>48</v>
      </c>
      <c r="C117" s="326"/>
      <c r="D117" s="326"/>
      <c r="E117" s="326"/>
      <c r="F117" s="326"/>
      <c r="G117" s="326"/>
      <c r="H117" s="326"/>
      <c r="I117" s="326"/>
      <c r="J117" s="326"/>
      <c r="K117" s="326"/>
      <c r="L117" s="326"/>
      <c r="M117" s="326"/>
      <c r="N117" s="326"/>
      <c r="O117" s="327"/>
      <c r="P117" s="327"/>
      <c r="Q117" s="327"/>
    </row>
    <row r="118" spans="1:17" s="110" customFormat="1" ht="276">
      <c r="A118" s="136" t="str">
        <f t="shared" ref="A118:O118" si="31">A7</f>
        <v>№ п/п</v>
      </c>
      <c r="B118" s="136" t="str">
        <f t="shared" si="31"/>
        <v>Наименование Товара Поставщика</v>
      </c>
      <c r="C118" s="136" t="str">
        <f t="shared" si="31"/>
        <v>ГОСТ, ТУ, технические характеристики</v>
      </c>
      <c r="D118" s="136" t="str">
        <f t="shared" si="31"/>
        <v>Наименование Товара для отражения в учетных системах Покупателя</v>
      </c>
      <c r="E118" s="136" t="str">
        <f t="shared" si="31"/>
        <v>Код АСВ НСИ</v>
      </c>
      <c r="F118" s="136" t="str">
        <f t="shared" si="31"/>
        <v>№ техн. поз.</v>
      </c>
      <c r="G118" s="136" t="str">
        <f t="shared" si="31"/>
        <v>Ед. изм.</v>
      </c>
      <c r="H118" s="136" t="str">
        <f t="shared" si="31"/>
        <v>Производитель, Страна происхождения</v>
      </c>
      <c r="I118" s="136" t="str">
        <f t="shared" si="31"/>
        <v>Кол-во</v>
      </c>
      <c r="J118" s="136" t="str">
        <f t="shared" si="31"/>
        <v>Цена за единицу измерения без НДС, (Выпадающий список)</v>
      </c>
      <c r="K118" s="136" t="str">
        <f t="shared" si="31"/>
        <v>Стоимость без учета НДС, (Выпадающий список)</v>
      </c>
      <c r="L118" s="136" t="str">
        <f t="shared" si="31"/>
        <v>Ставка НДС,%</v>
      </c>
      <c r="M118" s="136" t="str">
        <f t="shared" si="31"/>
        <v>Сумма НДС (Выпадающий список)</v>
      </c>
      <c r="N118" s="136" t="str">
        <f t="shared" si="31"/>
        <v>Стоимость с учетом НДС, (Выпадающий список)</v>
      </c>
      <c r="O118" s="136" t="str">
        <f t="shared" si="31"/>
        <v>Покупатель</v>
      </c>
      <c r="P118" s="137"/>
      <c r="Q118" s="138"/>
    </row>
    <row r="119" spans="1:17" s="110" customFormat="1">
      <c r="A119" s="165">
        <f t="shared" ref="A119:I119" si="32">A8</f>
        <v>0</v>
      </c>
      <c r="B119" s="166">
        <f t="shared" si="32"/>
        <v>0</v>
      </c>
      <c r="C119" s="166">
        <f t="shared" si="32"/>
        <v>0</v>
      </c>
      <c r="D119" s="166">
        <f t="shared" si="32"/>
        <v>0</v>
      </c>
      <c r="E119" s="166">
        <f t="shared" si="32"/>
        <v>0</v>
      </c>
      <c r="F119" s="166">
        <f t="shared" si="32"/>
        <v>0</v>
      </c>
      <c r="G119" s="166">
        <f t="shared" si="32"/>
        <v>0</v>
      </c>
      <c r="H119" s="166">
        <f t="shared" si="32"/>
        <v>0</v>
      </c>
      <c r="I119" s="170">
        <f t="shared" si="32"/>
        <v>0</v>
      </c>
      <c r="J119" s="168">
        <f>J8*(1-'Форма ввода Многосторонний'!$C$73/100)</f>
        <v>0</v>
      </c>
      <c r="K119" s="108">
        <f>ROUND(I119*J119,2)</f>
        <v>0</v>
      </c>
      <c r="L119" s="169">
        <f>L8</f>
        <v>0</v>
      </c>
      <c r="M119" s="108">
        <f t="shared" ref="M119:M153" si="33">IF(L119="Без НДС",0,ROUND(K119*L119,2))</f>
        <v>0</v>
      </c>
      <c r="N119" s="108">
        <f>M119+K119</f>
        <v>0</v>
      </c>
      <c r="O119" s="213">
        <f>O8</f>
        <v>0</v>
      </c>
      <c r="P119" s="144"/>
      <c r="Q119" s="145"/>
    </row>
    <row r="120" spans="1:17" s="110" customFormat="1">
      <c r="A120" s="165">
        <f t="shared" ref="A120:I120" si="34">A9</f>
        <v>0</v>
      </c>
      <c r="B120" s="166">
        <f t="shared" si="34"/>
        <v>0</v>
      </c>
      <c r="C120" s="166">
        <f t="shared" si="34"/>
        <v>0</v>
      </c>
      <c r="D120" s="166">
        <f t="shared" si="34"/>
        <v>0</v>
      </c>
      <c r="E120" s="166">
        <f t="shared" si="34"/>
        <v>0</v>
      </c>
      <c r="F120" s="166">
        <f t="shared" si="34"/>
        <v>0</v>
      </c>
      <c r="G120" s="166">
        <f t="shared" si="34"/>
        <v>0</v>
      </c>
      <c r="H120" s="166">
        <f t="shared" si="34"/>
        <v>0</v>
      </c>
      <c r="I120" s="170">
        <f t="shared" si="34"/>
        <v>0</v>
      </c>
      <c r="J120" s="168">
        <f>J9*(1-'Форма ввода Многосторонний'!$C$73/100)</f>
        <v>0</v>
      </c>
      <c r="K120" s="108">
        <f t="shared" ref="K120:K153" si="35">ROUND(I120*J120,2)</f>
        <v>0</v>
      </c>
      <c r="L120" s="169">
        <f>L9</f>
        <v>0</v>
      </c>
      <c r="M120" s="108">
        <f t="shared" si="33"/>
        <v>0</v>
      </c>
      <c r="N120" s="108">
        <f t="shared" ref="N120:N153" si="36">M120+K120</f>
        <v>0</v>
      </c>
      <c r="O120" s="213">
        <f>O9</f>
        <v>0</v>
      </c>
      <c r="P120" s="144"/>
      <c r="Q120" s="145"/>
    </row>
    <row r="121" spans="1:17" s="110" customFormat="1">
      <c r="A121" s="165">
        <f t="shared" ref="A121:I121" si="37">A10</f>
        <v>0</v>
      </c>
      <c r="B121" s="166">
        <f t="shared" si="37"/>
        <v>0</v>
      </c>
      <c r="C121" s="166">
        <f t="shared" si="37"/>
        <v>0</v>
      </c>
      <c r="D121" s="166">
        <f t="shared" si="37"/>
        <v>0</v>
      </c>
      <c r="E121" s="166">
        <f t="shared" si="37"/>
        <v>0</v>
      </c>
      <c r="F121" s="166">
        <f t="shared" si="37"/>
        <v>0</v>
      </c>
      <c r="G121" s="166">
        <f t="shared" si="37"/>
        <v>0</v>
      </c>
      <c r="H121" s="166">
        <f t="shared" si="37"/>
        <v>0</v>
      </c>
      <c r="I121" s="170">
        <f t="shared" si="37"/>
        <v>0</v>
      </c>
      <c r="J121" s="168">
        <f>J10*(1-'Форма ввода Многосторонний'!$C$73/100)</f>
        <v>0</v>
      </c>
      <c r="K121" s="108">
        <f t="shared" si="35"/>
        <v>0</v>
      </c>
      <c r="L121" s="169">
        <f>L10</f>
        <v>0</v>
      </c>
      <c r="M121" s="108">
        <f t="shared" si="33"/>
        <v>0</v>
      </c>
      <c r="N121" s="108">
        <f t="shared" si="36"/>
        <v>0</v>
      </c>
      <c r="O121" s="213">
        <f>O10</f>
        <v>0</v>
      </c>
      <c r="P121" s="144"/>
      <c r="Q121" s="145"/>
    </row>
    <row r="122" spans="1:17" s="110" customFormat="1">
      <c r="A122" s="165">
        <f t="shared" ref="A122:I122" si="38">A11</f>
        <v>0</v>
      </c>
      <c r="B122" s="166">
        <f t="shared" si="38"/>
        <v>0</v>
      </c>
      <c r="C122" s="166">
        <f t="shared" si="38"/>
        <v>0</v>
      </c>
      <c r="D122" s="166">
        <f t="shared" si="38"/>
        <v>0</v>
      </c>
      <c r="E122" s="166">
        <f t="shared" si="38"/>
        <v>0</v>
      </c>
      <c r="F122" s="166">
        <f t="shared" si="38"/>
        <v>0</v>
      </c>
      <c r="G122" s="166">
        <f t="shared" si="38"/>
        <v>0</v>
      </c>
      <c r="H122" s="166">
        <f t="shared" si="38"/>
        <v>0</v>
      </c>
      <c r="I122" s="170">
        <f t="shared" si="38"/>
        <v>0</v>
      </c>
      <c r="J122" s="168">
        <f>J11*(1-'Форма ввода Многосторонний'!$C$73/100)</f>
        <v>0</v>
      </c>
      <c r="K122" s="108">
        <f t="shared" si="35"/>
        <v>0</v>
      </c>
      <c r="L122" s="169">
        <f>L11</f>
        <v>0</v>
      </c>
      <c r="M122" s="108">
        <f t="shared" si="33"/>
        <v>0</v>
      </c>
      <c r="N122" s="108">
        <f t="shared" si="36"/>
        <v>0</v>
      </c>
      <c r="O122" s="213">
        <f>O11</f>
        <v>0</v>
      </c>
      <c r="P122" s="144"/>
      <c r="Q122" s="145"/>
    </row>
    <row r="123" spans="1:17" s="110" customFormat="1">
      <c r="A123" s="165">
        <f t="shared" ref="A123:I123" si="39">A12</f>
        <v>0</v>
      </c>
      <c r="B123" s="166">
        <f t="shared" si="39"/>
        <v>0</v>
      </c>
      <c r="C123" s="166">
        <f t="shared" si="39"/>
        <v>0</v>
      </c>
      <c r="D123" s="166">
        <f t="shared" si="39"/>
        <v>0</v>
      </c>
      <c r="E123" s="166">
        <f t="shared" si="39"/>
        <v>0</v>
      </c>
      <c r="F123" s="166">
        <f t="shared" si="39"/>
        <v>0</v>
      </c>
      <c r="G123" s="166">
        <f t="shared" si="39"/>
        <v>0</v>
      </c>
      <c r="H123" s="166">
        <f t="shared" si="39"/>
        <v>0</v>
      </c>
      <c r="I123" s="170">
        <f t="shared" si="39"/>
        <v>0</v>
      </c>
      <c r="J123" s="168">
        <f>J12*(1-'Форма ввода Многосторонний'!$C$73/100)</f>
        <v>0</v>
      </c>
      <c r="K123" s="108">
        <f t="shared" si="35"/>
        <v>0</v>
      </c>
      <c r="L123" s="169">
        <f>L12</f>
        <v>0</v>
      </c>
      <c r="M123" s="108">
        <f t="shared" si="33"/>
        <v>0</v>
      </c>
      <c r="N123" s="108">
        <f t="shared" si="36"/>
        <v>0</v>
      </c>
      <c r="O123" s="213">
        <f>O12</f>
        <v>0</v>
      </c>
      <c r="P123" s="144"/>
      <c r="Q123" s="145"/>
    </row>
    <row r="124" spans="1:17" s="110" customFormat="1">
      <c r="A124" s="210" t="str">
        <f t="shared" ref="A124:A154" si="40">A13</f>
        <v>ПОДЫТОГ :</v>
      </c>
      <c r="B124" s="211"/>
      <c r="C124" s="211"/>
      <c r="D124" s="211"/>
      <c r="E124" s="211"/>
      <c r="F124" s="211"/>
      <c r="G124" s="211"/>
      <c r="H124" s="211"/>
      <c r="I124" s="215"/>
      <c r="J124" s="204"/>
      <c r="K124" s="204">
        <f>SUM(K119:K123)</f>
        <v>0</v>
      </c>
      <c r="L124" s="172"/>
      <c r="M124" s="204">
        <f t="shared" ref="M124" si="41">SUM(M119:M123)</f>
        <v>0</v>
      </c>
      <c r="N124" s="204">
        <f t="shared" ref="N124" si="42">SUM(N119:N123)</f>
        <v>0</v>
      </c>
      <c r="O124" s="214"/>
      <c r="P124" s="144"/>
      <c r="Q124" s="145"/>
    </row>
    <row r="125" spans="1:17" s="110" customFormat="1">
      <c r="A125" s="165">
        <f t="shared" si="40"/>
        <v>0</v>
      </c>
      <c r="B125" s="166">
        <f t="shared" ref="B125:I129" si="43">B14</f>
        <v>0</v>
      </c>
      <c r="C125" s="166">
        <f t="shared" si="43"/>
        <v>0</v>
      </c>
      <c r="D125" s="166">
        <f t="shared" si="43"/>
        <v>0</v>
      </c>
      <c r="E125" s="166">
        <f t="shared" si="43"/>
        <v>0</v>
      </c>
      <c r="F125" s="166">
        <f t="shared" si="43"/>
        <v>0</v>
      </c>
      <c r="G125" s="166">
        <f t="shared" si="43"/>
        <v>0</v>
      </c>
      <c r="H125" s="166">
        <f t="shared" si="43"/>
        <v>0</v>
      </c>
      <c r="I125" s="170">
        <f t="shared" si="43"/>
        <v>0</v>
      </c>
      <c r="J125" s="168">
        <f>J14*(1-'Форма ввода Многосторонний'!$C$73/100)</f>
        <v>0</v>
      </c>
      <c r="K125" s="108">
        <f t="shared" si="35"/>
        <v>0</v>
      </c>
      <c r="L125" s="169">
        <f>L14</f>
        <v>0</v>
      </c>
      <c r="M125" s="108">
        <f t="shared" si="33"/>
        <v>0</v>
      </c>
      <c r="N125" s="108">
        <f t="shared" si="36"/>
        <v>0</v>
      </c>
      <c r="O125" s="213">
        <f>O14</f>
        <v>0</v>
      </c>
      <c r="P125" s="144"/>
      <c r="Q125" s="145"/>
    </row>
    <row r="126" spans="1:17" s="110" customFormat="1">
      <c r="A126" s="165">
        <f t="shared" si="40"/>
        <v>0</v>
      </c>
      <c r="B126" s="166">
        <f t="shared" si="43"/>
        <v>0</v>
      </c>
      <c r="C126" s="166">
        <f t="shared" si="43"/>
        <v>0</v>
      </c>
      <c r="D126" s="166">
        <f t="shared" si="43"/>
        <v>0</v>
      </c>
      <c r="E126" s="166">
        <f t="shared" si="43"/>
        <v>0</v>
      </c>
      <c r="F126" s="166">
        <f t="shared" si="43"/>
        <v>0</v>
      </c>
      <c r="G126" s="166">
        <f t="shared" si="43"/>
        <v>0</v>
      </c>
      <c r="H126" s="166">
        <f t="shared" si="43"/>
        <v>0</v>
      </c>
      <c r="I126" s="170">
        <f t="shared" si="43"/>
        <v>0</v>
      </c>
      <c r="J126" s="168">
        <f>J15*(1-'Форма ввода Многосторонний'!$C$73/100)</f>
        <v>0</v>
      </c>
      <c r="K126" s="108">
        <f t="shared" si="35"/>
        <v>0</v>
      </c>
      <c r="L126" s="169">
        <f>L15</f>
        <v>0</v>
      </c>
      <c r="M126" s="108">
        <f t="shared" si="33"/>
        <v>0</v>
      </c>
      <c r="N126" s="108">
        <f t="shared" si="36"/>
        <v>0</v>
      </c>
      <c r="O126" s="213">
        <f>O15</f>
        <v>0</v>
      </c>
      <c r="P126" s="144"/>
      <c r="Q126" s="145"/>
    </row>
    <row r="127" spans="1:17" s="110" customFormat="1">
      <c r="A127" s="165">
        <f t="shared" si="40"/>
        <v>0</v>
      </c>
      <c r="B127" s="166">
        <f t="shared" si="43"/>
        <v>0</v>
      </c>
      <c r="C127" s="166">
        <f t="shared" si="43"/>
        <v>0</v>
      </c>
      <c r="D127" s="166">
        <f t="shared" si="43"/>
        <v>0</v>
      </c>
      <c r="E127" s="166">
        <f t="shared" si="43"/>
        <v>0</v>
      </c>
      <c r="F127" s="166">
        <f t="shared" si="43"/>
        <v>0</v>
      </c>
      <c r="G127" s="166">
        <f t="shared" si="43"/>
        <v>0</v>
      </c>
      <c r="H127" s="166">
        <f t="shared" si="43"/>
        <v>0</v>
      </c>
      <c r="I127" s="170">
        <f t="shared" si="43"/>
        <v>0</v>
      </c>
      <c r="J127" s="168">
        <f>J16*(1-'Форма ввода Многосторонний'!$C$73/100)</f>
        <v>0</v>
      </c>
      <c r="K127" s="108">
        <f t="shared" si="35"/>
        <v>0</v>
      </c>
      <c r="L127" s="169">
        <f>L16</f>
        <v>0</v>
      </c>
      <c r="M127" s="108">
        <f t="shared" si="33"/>
        <v>0</v>
      </c>
      <c r="N127" s="108">
        <f t="shared" si="36"/>
        <v>0</v>
      </c>
      <c r="O127" s="213">
        <f>O16</f>
        <v>0</v>
      </c>
      <c r="P127" s="144"/>
      <c r="Q127" s="145"/>
    </row>
    <row r="128" spans="1:17" s="110" customFormat="1">
      <c r="A128" s="165">
        <f t="shared" si="40"/>
        <v>0</v>
      </c>
      <c r="B128" s="166">
        <f t="shared" si="43"/>
        <v>0</v>
      </c>
      <c r="C128" s="166">
        <f t="shared" si="43"/>
        <v>0</v>
      </c>
      <c r="D128" s="166">
        <f t="shared" si="43"/>
        <v>0</v>
      </c>
      <c r="E128" s="166">
        <f t="shared" si="43"/>
        <v>0</v>
      </c>
      <c r="F128" s="166">
        <f t="shared" si="43"/>
        <v>0</v>
      </c>
      <c r="G128" s="166">
        <f t="shared" si="43"/>
        <v>0</v>
      </c>
      <c r="H128" s="166">
        <f t="shared" si="43"/>
        <v>0</v>
      </c>
      <c r="I128" s="170">
        <f t="shared" si="43"/>
        <v>0</v>
      </c>
      <c r="J128" s="168">
        <f>J17*(1-'Форма ввода Многосторонний'!$C$73/100)</f>
        <v>0</v>
      </c>
      <c r="K128" s="108">
        <f t="shared" si="35"/>
        <v>0</v>
      </c>
      <c r="L128" s="169">
        <f>L17</f>
        <v>0</v>
      </c>
      <c r="M128" s="108">
        <f t="shared" si="33"/>
        <v>0</v>
      </c>
      <c r="N128" s="108">
        <f t="shared" si="36"/>
        <v>0</v>
      </c>
      <c r="O128" s="213">
        <f>O17</f>
        <v>0</v>
      </c>
      <c r="P128" s="144"/>
      <c r="Q128" s="145"/>
    </row>
    <row r="129" spans="1:17" s="110" customFormat="1">
      <c r="A129" s="165">
        <f t="shared" si="40"/>
        <v>0</v>
      </c>
      <c r="B129" s="166">
        <f t="shared" si="43"/>
        <v>0</v>
      </c>
      <c r="C129" s="166">
        <f t="shared" si="43"/>
        <v>0</v>
      </c>
      <c r="D129" s="166">
        <f t="shared" si="43"/>
        <v>0</v>
      </c>
      <c r="E129" s="166">
        <f t="shared" si="43"/>
        <v>0</v>
      </c>
      <c r="F129" s="166">
        <f t="shared" si="43"/>
        <v>0</v>
      </c>
      <c r="G129" s="166">
        <f t="shared" si="43"/>
        <v>0</v>
      </c>
      <c r="H129" s="166">
        <f t="shared" si="43"/>
        <v>0</v>
      </c>
      <c r="I129" s="170">
        <f t="shared" si="43"/>
        <v>0</v>
      </c>
      <c r="J129" s="168">
        <f>J18*(1-'Форма ввода Многосторонний'!$C$73/100)</f>
        <v>0</v>
      </c>
      <c r="K129" s="108">
        <f t="shared" si="35"/>
        <v>0</v>
      </c>
      <c r="L129" s="169">
        <f>L18</f>
        <v>0</v>
      </c>
      <c r="M129" s="108">
        <f t="shared" si="33"/>
        <v>0</v>
      </c>
      <c r="N129" s="108">
        <f t="shared" si="36"/>
        <v>0</v>
      </c>
      <c r="O129" s="213">
        <f>O18</f>
        <v>0</v>
      </c>
      <c r="P129" s="144"/>
      <c r="Q129" s="145"/>
    </row>
    <row r="130" spans="1:17" s="110" customFormat="1">
      <c r="A130" s="210" t="str">
        <f t="shared" si="40"/>
        <v>ПОДЫТОГ :</v>
      </c>
      <c r="B130" s="211"/>
      <c r="C130" s="211"/>
      <c r="D130" s="211"/>
      <c r="E130" s="211"/>
      <c r="F130" s="211"/>
      <c r="G130" s="211"/>
      <c r="H130" s="211"/>
      <c r="I130" s="215"/>
      <c r="J130" s="204"/>
      <c r="K130" s="204">
        <f>SUM(K125:K129)</f>
        <v>0</v>
      </c>
      <c r="L130" s="172"/>
      <c r="M130" s="204">
        <f t="shared" ref="M130" si="44">SUM(M125:M129)</f>
        <v>0</v>
      </c>
      <c r="N130" s="204">
        <f t="shared" ref="N130" si="45">SUM(N125:N129)</f>
        <v>0</v>
      </c>
      <c r="O130" s="214"/>
      <c r="P130" s="144"/>
      <c r="Q130" s="145"/>
    </row>
    <row r="131" spans="1:17" s="110" customFormat="1">
      <c r="A131" s="165">
        <f t="shared" si="40"/>
        <v>0</v>
      </c>
      <c r="B131" s="166">
        <f t="shared" ref="B131:I135" si="46">B20</f>
        <v>0</v>
      </c>
      <c r="C131" s="166">
        <f t="shared" si="46"/>
        <v>0</v>
      </c>
      <c r="D131" s="166">
        <f t="shared" si="46"/>
        <v>0</v>
      </c>
      <c r="E131" s="166">
        <f t="shared" si="46"/>
        <v>0</v>
      </c>
      <c r="F131" s="166">
        <f t="shared" si="46"/>
        <v>0</v>
      </c>
      <c r="G131" s="166">
        <f t="shared" si="46"/>
        <v>0</v>
      </c>
      <c r="H131" s="166">
        <f t="shared" si="46"/>
        <v>0</v>
      </c>
      <c r="I131" s="170">
        <f t="shared" si="46"/>
        <v>0</v>
      </c>
      <c r="J131" s="168">
        <f>J20*(1-'Форма ввода Многосторонний'!$C$73/100)</f>
        <v>0</v>
      </c>
      <c r="K131" s="108">
        <f t="shared" si="35"/>
        <v>0</v>
      </c>
      <c r="L131" s="169">
        <f>L20</f>
        <v>0</v>
      </c>
      <c r="M131" s="108">
        <f t="shared" si="33"/>
        <v>0</v>
      </c>
      <c r="N131" s="108">
        <f t="shared" si="36"/>
        <v>0</v>
      </c>
      <c r="O131" s="213">
        <f>O20</f>
        <v>0</v>
      </c>
      <c r="P131" s="144"/>
      <c r="Q131" s="145"/>
    </row>
    <row r="132" spans="1:17" s="110" customFormat="1">
      <c r="A132" s="165">
        <f t="shared" si="40"/>
        <v>0</v>
      </c>
      <c r="B132" s="166">
        <f t="shared" si="46"/>
        <v>0</v>
      </c>
      <c r="C132" s="166">
        <f t="shared" si="46"/>
        <v>0</v>
      </c>
      <c r="D132" s="166">
        <f t="shared" si="46"/>
        <v>0</v>
      </c>
      <c r="E132" s="166">
        <f t="shared" si="46"/>
        <v>0</v>
      </c>
      <c r="F132" s="166">
        <f t="shared" si="46"/>
        <v>0</v>
      </c>
      <c r="G132" s="166">
        <f t="shared" si="46"/>
        <v>0</v>
      </c>
      <c r="H132" s="166">
        <f t="shared" si="46"/>
        <v>0</v>
      </c>
      <c r="I132" s="170">
        <f t="shared" si="46"/>
        <v>0</v>
      </c>
      <c r="J132" s="168">
        <f>J21*(1-'Форма ввода Многосторонний'!$C$73/100)</f>
        <v>0</v>
      </c>
      <c r="K132" s="108">
        <f t="shared" si="35"/>
        <v>0</v>
      </c>
      <c r="L132" s="169">
        <f>L21</f>
        <v>0</v>
      </c>
      <c r="M132" s="108">
        <f t="shared" si="33"/>
        <v>0</v>
      </c>
      <c r="N132" s="108">
        <f t="shared" si="36"/>
        <v>0</v>
      </c>
      <c r="O132" s="213">
        <f>O21</f>
        <v>0</v>
      </c>
      <c r="P132" s="144"/>
      <c r="Q132" s="145"/>
    </row>
    <row r="133" spans="1:17" s="110" customFormat="1">
      <c r="A133" s="165">
        <f t="shared" si="40"/>
        <v>0</v>
      </c>
      <c r="B133" s="166">
        <f t="shared" si="46"/>
        <v>0</v>
      </c>
      <c r="C133" s="166">
        <f t="shared" si="46"/>
        <v>0</v>
      </c>
      <c r="D133" s="166">
        <f t="shared" si="46"/>
        <v>0</v>
      </c>
      <c r="E133" s="166">
        <f t="shared" si="46"/>
        <v>0</v>
      </c>
      <c r="F133" s="166">
        <f t="shared" si="46"/>
        <v>0</v>
      </c>
      <c r="G133" s="166">
        <f t="shared" si="46"/>
        <v>0</v>
      </c>
      <c r="H133" s="166">
        <f t="shared" si="46"/>
        <v>0</v>
      </c>
      <c r="I133" s="170">
        <f t="shared" si="46"/>
        <v>0</v>
      </c>
      <c r="J133" s="168">
        <f>J22*(1-'Форма ввода Многосторонний'!$C$73/100)</f>
        <v>0</v>
      </c>
      <c r="K133" s="108">
        <f t="shared" si="35"/>
        <v>0</v>
      </c>
      <c r="L133" s="169">
        <f>L22</f>
        <v>0</v>
      </c>
      <c r="M133" s="108">
        <f t="shared" si="33"/>
        <v>0</v>
      </c>
      <c r="N133" s="108">
        <f t="shared" si="36"/>
        <v>0</v>
      </c>
      <c r="O133" s="213">
        <f>O22</f>
        <v>0</v>
      </c>
      <c r="P133" s="144"/>
      <c r="Q133" s="145"/>
    </row>
    <row r="134" spans="1:17" s="110" customFormat="1">
      <c r="A134" s="165">
        <f t="shared" si="40"/>
        <v>0</v>
      </c>
      <c r="B134" s="166">
        <f t="shared" si="46"/>
        <v>0</v>
      </c>
      <c r="C134" s="166">
        <f t="shared" si="46"/>
        <v>0</v>
      </c>
      <c r="D134" s="166">
        <f t="shared" si="46"/>
        <v>0</v>
      </c>
      <c r="E134" s="166">
        <f t="shared" si="46"/>
        <v>0</v>
      </c>
      <c r="F134" s="166">
        <f t="shared" si="46"/>
        <v>0</v>
      </c>
      <c r="G134" s="166">
        <f t="shared" si="46"/>
        <v>0</v>
      </c>
      <c r="H134" s="166">
        <f t="shared" si="46"/>
        <v>0</v>
      </c>
      <c r="I134" s="170">
        <f t="shared" si="46"/>
        <v>0</v>
      </c>
      <c r="J134" s="168">
        <f>J23*(1-'Форма ввода Многосторонний'!$C$73/100)</f>
        <v>0</v>
      </c>
      <c r="K134" s="108">
        <f t="shared" si="35"/>
        <v>0</v>
      </c>
      <c r="L134" s="169">
        <f>L23</f>
        <v>0</v>
      </c>
      <c r="M134" s="108">
        <f t="shared" si="33"/>
        <v>0</v>
      </c>
      <c r="N134" s="108">
        <f t="shared" si="36"/>
        <v>0</v>
      </c>
      <c r="O134" s="213">
        <f>O23</f>
        <v>0</v>
      </c>
      <c r="P134" s="144"/>
      <c r="Q134" s="145"/>
    </row>
    <row r="135" spans="1:17" s="110" customFormat="1">
      <c r="A135" s="165">
        <f t="shared" si="40"/>
        <v>0</v>
      </c>
      <c r="B135" s="166">
        <f t="shared" si="46"/>
        <v>0</v>
      </c>
      <c r="C135" s="166">
        <f t="shared" si="46"/>
        <v>0</v>
      </c>
      <c r="D135" s="166">
        <f t="shared" si="46"/>
        <v>0</v>
      </c>
      <c r="E135" s="166">
        <f t="shared" si="46"/>
        <v>0</v>
      </c>
      <c r="F135" s="166">
        <f t="shared" si="46"/>
        <v>0</v>
      </c>
      <c r="G135" s="166">
        <f t="shared" si="46"/>
        <v>0</v>
      </c>
      <c r="H135" s="166">
        <f t="shared" si="46"/>
        <v>0</v>
      </c>
      <c r="I135" s="170">
        <f t="shared" si="46"/>
        <v>0</v>
      </c>
      <c r="J135" s="168">
        <f>J24*(1-'Форма ввода Многосторонний'!$C$73/100)</f>
        <v>0</v>
      </c>
      <c r="K135" s="108">
        <f t="shared" si="35"/>
        <v>0</v>
      </c>
      <c r="L135" s="169">
        <f>L24</f>
        <v>0</v>
      </c>
      <c r="M135" s="108">
        <f t="shared" si="33"/>
        <v>0</v>
      </c>
      <c r="N135" s="108">
        <f t="shared" si="36"/>
        <v>0</v>
      </c>
      <c r="O135" s="213">
        <f>O24</f>
        <v>0</v>
      </c>
      <c r="P135" s="144"/>
      <c r="Q135" s="145"/>
    </row>
    <row r="136" spans="1:17" s="110" customFormat="1">
      <c r="A136" s="210" t="str">
        <f t="shared" si="40"/>
        <v>ПОДЫТОГ :</v>
      </c>
      <c r="B136" s="211"/>
      <c r="C136" s="211"/>
      <c r="D136" s="211"/>
      <c r="E136" s="211"/>
      <c r="F136" s="211"/>
      <c r="G136" s="211"/>
      <c r="H136" s="211"/>
      <c r="I136" s="215"/>
      <c r="J136" s="204"/>
      <c r="K136" s="204">
        <f>SUM(K131:K135)</f>
        <v>0</v>
      </c>
      <c r="L136" s="172"/>
      <c r="M136" s="204">
        <f t="shared" ref="M136" si="47">SUM(M131:M135)</f>
        <v>0</v>
      </c>
      <c r="N136" s="204">
        <f t="shared" ref="N136" si="48">SUM(N131:N135)</f>
        <v>0</v>
      </c>
      <c r="O136" s="214"/>
      <c r="P136" s="144"/>
      <c r="Q136" s="145"/>
    </row>
    <row r="137" spans="1:17" s="110" customFormat="1">
      <c r="A137" s="165">
        <f t="shared" si="40"/>
        <v>0</v>
      </c>
      <c r="B137" s="166">
        <f t="shared" ref="B137:I141" si="49">B26</f>
        <v>0</v>
      </c>
      <c r="C137" s="166">
        <f t="shared" si="49"/>
        <v>0</v>
      </c>
      <c r="D137" s="166">
        <f t="shared" si="49"/>
        <v>0</v>
      </c>
      <c r="E137" s="166">
        <f t="shared" si="49"/>
        <v>0</v>
      </c>
      <c r="F137" s="166">
        <f t="shared" si="49"/>
        <v>0</v>
      </c>
      <c r="G137" s="166">
        <f t="shared" si="49"/>
        <v>0</v>
      </c>
      <c r="H137" s="166">
        <f t="shared" si="49"/>
        <v>0</v>
      </c>
      <c r="I137" s="170">
        <f t="shared" si="49"/>
        <v>0</v>
      </c>
      <c r="J137" s="168">
        <f>J26*(1-'Форма ввода Многосторонний'!$C$73/100)</f>
        <v>0</v>
      </c>
      <c r="K137" s="108">
        <f t="shared" si="35"/>
        <v>0</v>
      </c>
      <c r="L137" s="169">
        <f>L26</f>
        <v>0</v>
      </c>
      <c r="M137" s="108">
        <f t="shared" si="33"/>
        <v>0</v>
      </c>
      <c r="N137" s="108">
        <f t="shared" si="36"/>
        <v>0</v>
      </c>
      <c r="O137" s="213">
        <f>O26</f>
        <v>0</v>
      </c>
      <c r="P137" s="144"/>
      <c r="Q137" s="145"/>
    </row>
    <row r="138" spans="1:17" s="110" customFormat="1">
      <c r="A138" s="165">
        <f t="shared" si="40"/>
        <v>0</v>
      </c>
      <c r="B138" s="166">
        <f t="shared" si="49"/>
        <v>0</v>
      </c>
      <c r="C138" s="166">
        <f t="shared" si="49"/>
        <v>0</v>
      </c>
      <c r="D138" s="166">
        <f t="shared" si="49"/>
        <v>0</v>
      </c>
      <c r="E138" s="166">
        <f t="shared" si="49"/>
        <v>0</v>
      </c>
      <c r="F138" s="166">
        <f t="shared" si="49"/>
        <v>0</v>
      </c>
      <c r="G138" s="166">
        <f t="shared" si="49"/>
        <v>0</v>
      </c>
      <c r="H138" s="166">
        <f t="shared" si="49"/>
        <v>0</v>
      </c>
      <c r="I138" s="170">
        <f t="shared" si="49"/>
        <v>0</v>
      </c>
      <c r="J138" s="168">
        <f>J27*(1-'Форма ввода Многосторонний'!$C$73/100)</f>
        <v>0</v>
      </c>
      <c r="K138" s="108">
        <f t="shared" si="35"/>
        <v>0</v>
      </c>
      <c r="L138" s="169">
        <f>L27</f>
        <v>0</v>
      </c>
      <c r="M138" s="108">
        <f t="shared" si="33"/>
        <v>0</v>
      </c>
      <c r="N138" s="108">
        <f t="shared" si="36"/>
        <v>0</v>
      </c>
      <c r="O138" s="213">
        <f>O27</f>
        <v>0</v>
      </c>
      <c r="P138" s="144"/>
      <c r="Q138" s="145"/>
    </row>
    <row r="139" spans="1:17" s="110" customFormat="1">
      <c r="A139" s="165">
        <f t="shared" si="40"/>
        <v>0</v>
      </c>
      <c r="B139" s="166">
        <f t="shared" si="49"/>
        <v>0</v>
      </c>
      <c r="C139" s="166">
        <f t="shared" si="49"/>
        <v>0</v>
      </c>
      <c r="D139" s="166">
        <f t="shared" si="49"/>
        <v>0</v>
      </c>
      <c r="E139" s="166">
        <f t="shared" si="49"/>
        <v>0</v>
      </c>
      <c r="F139" s="166">
        <f t="shared" si="49"/>
        <v>0</v>
      </c>
      <c r="G139" s="166">
        <f t="shared" si="49"/>
        <v>0</v>
      </c>
      <c r="H139" s="166">
        <f t="shared" si="49"/>
        <v>0</v>
      </c>
      <c r="I139" s="170">
        <f t="shared" si="49"/>
        <v>0</v>
      </c>
      <c r="J139" s="168">
        <f>J28*(1-'Форма ввода Многосторонний'!$C$73/100)</f>
        <v>0</v>
      </c>
      <c r="K139" s="108">
        <f t="shared" si="35"/>
        <v>0</v>
      </c>
      <c r="L139" s="169">
        <f>L28</f>
        <v>0</v>
      </c>
      <c r="M139" s="108">
        <f t="shared" si="33"/>
        <v>0</v>
      </c>
      <c r="N139" s="108">
        <f t="shared" si="36"/>
        <v>0</v>
      </c>
      <c r="O139" s="213">
        <f>O28</f>
        <v>0</v>
      </c>
      <c r="P139" s="144"/>
      <c r="Q139" s="145"/>
    </row>
    <row r="140" spans="1:17" s="110" customFormat="1">
      <c r="A140" s="165">
        <f t="shared" si="40"/>
        <v>0</v>
      </c>
      <c r="B140" s="166">
        <f t="shared" si="49"/>
        <v>0</v>
      </c>
      <c r="C140" s="166">
        <f t="shared" si="49"/>
        <v>0</v>
      </c>
      <c r="D140" s="166">
        <f t="shared" si="49"/>
        <v>0</v>
      </c>
      <c r="E140" s="166">
        <f t="shared" si="49"/>
        <v>0</v>
      </c>
      <c r="F140" s="166">
        <f t="shared" si="49"/>
        <v>0</v>
      </c>
      <c r="G140" s="166">
        <f t="shared" si="49"/>
        <v>0</v>
      </c>
      <c r="H140" s="166">
        <f t="shared" si="49"/>
        <v>0</v>
      </c>
      <c r="I140" s="170">
        <f t="shared" si="49"/>
        <v>0</v>
      </c>
      <c r="J140" s="168">
        <f>J29*(1-'Форма ввода Многосторонний'!$C$73/100)</f>
        <v>0</v>
      </c>
      <c r="K140" s="108">
        <f t="shared" si="35"/>
        <v>0</v>
      </c>
      <c r="L140" s="169">
        <f>L29</f>
        <v>0</v>
      </c>
      <c r="M140" s="108">
        <f t="shared" si="33"/>
        <v>0</v>
      </c>
      <c r="N140" s="108">
        <f t="shared" si="36"/>
        <v>0</v>
      </c>
      <c r="O140" s="213">
        <f>O29</f>
        <v>0</v>
      </c>
      <c r="P140" s="144"/>
      <c r="Q140" s="145"/>
    </row>
    <row r="141" spans="1:17" s="110" customFormat="1">
      <c r="A141" s="165">
        <f t="shared" si="40"/>
        <v>0</v>
      </c>
      <c r="B141" s="166">
        <f t="shared" si="49"/>
        <v>0</v>
      </c>
      <c r="C141" s="166">
        <f t="shared" si="49"/>
        <v>0</v>
      </c>
      <c r="D141" s="166">
        <f t="shared" si="49"/>
        <v>0</v>
      </c>
      <c r="E141" s="166">
        <f t="shared" si="49"/>
        <v>0</v>
      </c>
      <c r="F141" s="166">
        <f t="shared" si="49"/>
        <v>0</v>
      </c>
      <c r="G141" s="166">
        <f t="shared" si="49"/>
        <v>0</v>
      </c>
      <c r="H141" s="166">
        <f t="shared" si="49"/>
        <v>0</v>
      </c>
      <c r="I141" s="170">
        <f t="shared" si="49"/>
        <v>0</v>
      </c>
      <c r="J141" s="168">
        <f>J30*(1-'Форма ввода Многосторонний'!$C$73/100)</f>
        <v>0</v>
      </c>
      <c r="K141" s="108">
        <f t="shared" si="35"/>
        <v>0</v>
      </c>
      <c r="L141" s="169">
        <f>L30</f>
        <v>0</v>
      </c>
      <c r="M141" s="108">
        <f t="shared" si="33"/>
        <v>0</v>
      </c>
      <c r="N141" s="108">
        <f t="shared" si="36"/>
        <v>0</v>
      </c>
      <c r="O141" s="213">
        <f>O30</f>
        <v>0</v>
      </c>
      <c r="P141" s="144"/>
      <c r="Q141" s="145"/>
    </row>
    <row r="142" spans="1:17" s="110" customFormat="1">
      <c r="A142" s="210" t="str">
        <f t="shared" si="40"/>
        <v>ПОДЫТОГ :</v>
      </c>
      <c r="B142" s="211"/>
      <c r="C142" s="211"/>
      <c r="D142" s="211"/>
      <c r="E142" s="211"/>
      <c r="F142" s="211"/>
      <c r="G142" s="211"/>
      <c r="H142" s="211"/>
      <c r="I142" s="215"/>
      <c r="J142" s="204"/>
      <c r="K142" s="204">
        <f>SUM(K137:K141)</f>
        <v>0</v>
      </c>
      <c r="L142" s="172"/>
      <c r="M142" s="204">
        <f t="shared" ref="M142" si="50">SUM(M137:M141)</f>
        <v>0</v>
      </c>
      <c r="N142" s="204">
        <f t="shared" ref="N142" si="51">SUM(N137:N141)</f>
        <v>0</v>
      </c>
      <c r="O142" s="214"/>
      <c r="P142" s="144"/>
      <c r="Q142" s="145"/>
    </row>
    <row r="143" spans="1:17" s="110" customFormat="1">
      <c r="A143" s="165">
        <f t="shared" si="40"/>
        <v>0</v>
      </c>
      <c r="B143" s="166">
        <f t="shared" ref="B143:I147" si="52">B32</f>
        <v>0</v>
      </c>
      <c r="C143" s="166">
        <f t="shared" si="52"/>
        <v>0</v>
      </c>
      <c r="D143" s="166">
        <f t="shared" si="52"/>
        <v>0</v>
      </c>
      <c r="E143" s="166">
        <f t="shared" si="52"/>
        <v>0</v>
      </c>
      <c r="F143" s="166">
        <f t="shared" si="52"/>
        <v>0</v>
      </c>
      <c r="G143" s="166">
        <f t="shared" si="52"/>
        <v>0</v>
      </c>
      <c r="H143" s="166">
        <f t="shared" si="52"/>
        <v>0</v>
      </c>
      <c r="I143" s="170">
        <f t="shared" si="52"/>
        <v>0</v>
      </c>
      <c r="J143" s="168">
        <f>J32*(1-'Форма ввода Многосторонний'!$C$73/100)</f>
        <v>0</v>
      </c>
      <c r="K143" s="108">
        <f t="shared" si="35"/>
        <v>0</v>
      </c>
      <c r="L143" s="169">
        <f>L32</f>
        <v>0</v>
      </c>
      <c r="M143" s="108">
        <f t="shared" si="33"/>
        <v>0</v>
      </c>
      <c r="N143" s="108">
        <f t="shared" si="36"/>
        <v>0</v>
      </c>
      <c r="O143" s="213">
        <f>O32</f>
        <v>0</v>
      </c>
      <c r="P143" s="144"/>
      <c r="Q143" s="145"/>
    </row>
    <row r="144" spans="1:17" s="110" customFormat="1">
      <c r="A144" s="165">
        <f t="shared" si="40"/>
        <v>0</v>
      </c>
      <c r="B144" s="166">
        <f t="shared" si="52"/>
        <v>0</v>
      </c>
      <c r="C144" s="166">
        <f t="shared" si="52"/>
        <v>0</v>
      </c>
      <c r="D144" s="166">
        <f t="shared" si="52"/>
        <v>0</v>
      </c>
      <c r="E144" s="166">
        <f t="shared" si="52"/>
        <v>0</v>
      </c>
      <c r="F144" s="166">
        <f t="shared" si="52"/>
        <v>0</v>
      </c>
      <c r="G144" s="166">
        <f t="shared" si="52"/>
        <v>0</v>
      </c>
      <c r="H144" s="166">
        <f t="shared" si="52"/>
        <v>0</v>
      </c>
      <c r="I144" s="170">
        <f t="shared" si="52"/>
        <v>0</v>
      </c>
      <c r="J144" s="168">
        <f>J33*(1-'Форма ввода Многосторонний'!$C$73/100)</f>
        <v>0</v>
      </c>
      <c r="K144" s="108">
        <f t="shared" si="35"/>
        <v>0</v>
      </c>
      <c r="L144" s="169">
        <f>L33</f>
        <v>0</v>
      </c>
      <c r="M144" s="108">
        <f t="shared" si="33"/>
        <v>0</v>
      </c>
      <c r="N144" s="108">
        <f t="shared" si="36"/>
        <v>0</v>
      </c>
      <c r="O144" s="213">
        <f>O33</f>
        <v>0</v>
      </c>
      <c r="P144" s="144"/>
      <c r="Q144" s="145"/>
    </row>
    <row r="145" spans="1:17" s="110" customFormat="1">
      <c r="A145" s="165">
        <f t="shared" si="40"/>
        <v>0</v>
      </c>
      <c r="B145" s="166">
        <f t="shared" si="52"/>
        <v>0</v>
      </c>
      <c r="C145" s="166">
        <f t="shared" si="52"/>
        <v>0</v>
      </c>
      <c r="D145" s="166">
        <f t="shared" si="52"/>
        <v>0</v>
      </c>
      <c r="E145" s="166">
        <f t="shared" si="52"/>
        <v>0</v>
      </c>
      <c r="F145" s="166">
        <f t="shared" si="52"/>
        <v>0</v>
      </c>
      <c r="G145" s="166">
        <f t="shared" si="52"/>
        <v>0</v>
      </c>
      <c r="H145" s="166">
        <f t="shared" si="52"/>
        <v>0</v>
      </c>
      <c r="I145" s="170">
        <f t="shared" si="52"/>
        <v>0</v>
      </c>
      <c r="J145" s="168">
        <f>J34*(1-'Форма ввода Многосторонний'!$C$73/100)</f>
        <v>0</v>
      </c>
      <c r="K145" s="108">
        <f t="shared" si="35"/>
        <v>0</v>
      </c>
      <c r="L145" s="169">
        <f>L34</f>
        <v>0</v>
      </c>
      <c r="M145" s="108">
        <f t="shared" si="33"/>
        <v>0</v>
      </c>
      <c r="N145" s="108">
        <f t="shared" si="36"/>
        <v>0</v>
      </c>
      <c r="O145" s="213">
        <f>O34</f>
        <v>0</v>
      </c>
      <c r="P145" s="144"/>
      <c r="Q145" s="145"/>
    </row>
    <row r="146" spans="1:17" s="110" customFormat="1">
      <c r="A146" s="165">
        <f t="shared" si="40"/>
        <v>0</v>
      </c>
      <c r="B146" s="166">
        <f t="shared" si="52"/>
        <v>0</v>
      </c>
      <c r="C146" s="166">
        <f t="shared" si="52"/>
        <v>0</v>
      </c>
      <c r="D146" s="166">
        <f t="shared" si="52"/>
        <v>0</v>
      </c>
      <c r="E146" s="166">
        <f t="shared" si="52"/>
        <v>0</v>
      </c>
      <c r="F146" s="166">
        <f t="shared" si="52"/>
        <v>0</v>
      </c>
      <c r="G146" s="166">
        <f t="shared" si="52"/>
        <v>0</v>
      </c>
      <c r="H146" s="166">
        <f t="shared" si="52"/>
        <v>0</v>
      </c>
      <c r="I146" s="170">
        <f t="shared" si="52"/>
        <v>0</v>
      </c>
      <c r="J146" s="168">
        <f>J35*(1-'Форма ввода Многосторонний'!$C$73/100)</f>
        <v>0</v>
      </c>
      <c r="K146" s="108">
        <f t="shared" si="35"/>
        <v>0</v>
      </c>
      <c r="L146" s="169">
        <f>L35</f>
        <v>0</v>
      </c>
      <c r="M146" s="108">
        <f t="shared" si="33"/>
        <v>0</v>
      </c>
      <c r="N146" s="108">
        <f t="shared" si="36"/>
        <v>0</v>
      </c>
      <c r="O146" s="213">
        <f>O35</f>
        <v>0</v>
      </c>
      <c r="P146" s="144"/>
      <c r="Q146" s="145"/>
    </row>
    <row r="147" spans="1:17" s="110" customFormat="1">
      <c r="A147" s="165">
        <f t="shared" si="40"/>
        <v>0</v>
      </c>
      <c r="B147" s="166">
        <f t="shared" si="52"/>
        <v>0</v>
      </c>
      <c r="C147" s="166">
        <f t="shared" si="52"/>
        <v>0</v>
      </c>
      <c r="D147" s="166">
        <f t="shared" si="52"/>
        <v>0</v>
      </c>
      <c r="E147" s="166">
        <f t="shared" si="52"/>
        <v>0</v>
      </c>
      <c r="F147" s="166">
        <f t="shared" si="52"/>
        <v>0</v>
      </c>
      <c r="G147" s="166">
        <f t="shared" si="52"/>
        <v>0</v>
      </c>
      <c r="H147" s="166">
        <f t="shared" si="52"/>
        <v>0</v>
      </c>
      <c r="I147" s="170">
        <f t="shared" si="52"/>
        <v>0</v>
      </c>
      <c r="J147" s="168">
        <f>J36*(1-'Форма ввода Многосторонний'!$C$73/100)</f>
        <v>0</v>
      </c>
      <c r="K147" s="108">
        <f t="shared" si="35"/>
        <v>0</v>
      </c>
      <c r="L147" s="169">
        <f>L36</f>
        <v>0</v>
      </c>
      <c r="M147" s="108">
        <f t="shared" si="33"/>
        <v>0</v>
      </c>
      <c r="N147" s="108">
        <f t="shared" si="36"/>
        <v>0</v>
      </c>
      <c r="O147" s="213">
        <f>O36</f>
        <v>0</v>
      </c>
      <c r="P147" s="144"/>
      <c r="Q147" s="145"/>
    </row>
    <row r="148" spans="1:17" s="110" customFormat="1">
      <c r="A148" s="210" t="str">
        <f t="shared" si="40"/>
        <v>ПОДЫТОГ :</v>
      </c>
      <c r="B148" s="211"/>
      <c r="C148" s="211"/>
      <c r="D148" s="211"/>
      <c r="E148" s="211"/>
      <c r="F148" s="211"/>
      <c r="G148" s="211"/>
      <c r="H148" s="211"/>
      <c r="I148" s="215"/>
      <c r="J148" s="204"/>
      <c r="K148" s="204">
        <f>SUM(K143:K147)</f>
        <v>0</v>
      </c>
      <c r="L148" s="172"/>
      <c r="M148" s="204">
        <f t="shared" ref="M148" si="53">SUM(M143:M147)</f>
        <v>0</v>
      </c>
      <c r="N148" s="204">
        <f t="shared" ref="N148" si="54">SUM(N143:N147)</f>
        <v>0</v>
      </c>
      <c r="O148" s="214"/>
      <c r="P148" s="144"/>
      <c r="Q148" s="145"/>
    </row>
    <row r="149" spans="1:17" s="110" customFormat="1">
      <c r="A149" s="165">
        <f t="shared" si="40"/>
        <v>0</v>
      </c>
      <c r="B149" s="166">
        <f t="shared" ref="B149:I153" si="55">B38</f>
        <v>0</v>
      </c>
      <c r="C149" s="166">
        <f t="shared" si="55"/>
        <v>0</v>
      </c>
      <c r="D149" s="166">
        <f t="shared" si="55"/>
        <v>0</v>
      </c>
      <c r="E149" s="166">
        <f t="shared" si="55"/>
        <v>0</v>
      </c>
      <c r="F149" s="166">
        <f t="shared" si="55"/>
        <v>0</v>
      </c>
      <c r="G149" s="166">
        <f t="shared" si="55"/>
        <v>0</v>
      </c>
      <c r="H149" s="166">
        <f t="shared" si="55"/>
        <v>0</v>
      </c>
      <c r="I149" s="170">
        <f t="shared" si="55"/>
        <v>0</v>
      </c>
      <c r="J149" s="168">
        <f>J38*(1-'Форма ввода Многосторонний'!$C$73/100)</f>
        <v>0</v>
      </c>
      <c r="K149" s="108">
        <f t="shared" si="35"/>
        <v>0</v>
      </c>
      <c r="L149" s="169">
        <f>L38</f>
        <v>0</v>
      </c>
      <c r="M149" s="108">
        <f t="shared" si="33"/>
        <v>0</v>
      </c>
      <c r="N149" s="108">
        <f t="shared" si="36"/>
        <v>0</v>
      </c>
      <c r="O149" s="213">
        <f>O38</f>
        <v>0</v>
      </c>
      <c r="P149" s="144"/>
      <c r="Q149" s="145"/>
    </row>
    <row r="150" spans="1:17" s="110" customFormat="1">
      <c r="A150" s="165">
        <f t="shared" si="40"/>
        <v>0</v>
      </c>
      <c r="B150" s="166">
        <f t="shared" si="55"/>
        <v>0</v>
      </c>
      <c r="C150" s="166">
        <f t="shared" si="55"/>
        <v>0</v>
      </c>
      <c r="D150" s="166">
        <f t="shared" si="55"/>
        <v>0</v>
      </c>
      <c r="E150" s="166">
        <f t="shared" si="55"/>
        <v>0</v>
      </c>
      <c r="F150" s="166">
        <f t="shared" si="55"/>
        <v>0</v>
      </c>
      <c r="G150" s="166">
        <f t="shared" si="55"/>
        <v>0</v>
      </c>
      <c r="H150" s="166">
        <f t="shared" si="55"/>
        <v>0</v>
      </c>
      <c r="I150" s="170">
        <f t="shared" si="55"/>
        <v>0</v>
      </c>
      <c r="J150" s="168">
        <f>J39*(1-'Форма ввода Многосторонний'!$C$73/100)</f>
        <v>0</v>
      </c>
      <c r="K150" s="108">
        <f t="shared" si="35"/>
        <v>0</v>
      </c>
      <c r="L150" s="169">
        <f>L39</f>
        <v>0</v>
      </c>
      <c r="M150" s="108">
        <f t="shared" si="33"/>
        <v>0</v>
      </c>
      <c r="N150" s="108">
        <f t="shared" si="36"/>
        <v>0</v>
      </c>
      <c r="O150" s="213">
        <f>O39</f>
        <v>0</v>
      </c>
      <c r="P150" s="144"/>
      <c r="Q150" s="145"/>
    </row>
    <row r="151" spans="1:17" s="110" customFormat="1">
      <c r="A151" s="165">
        <f t="shared" si="40"/>
        <v>0</v>
      </c>
      <c r="B151" s="166">
        <f t="shared" si="55"/>
        <v>0</v>
      </c>
      <c r="C151" s="166">
        <f t="shared" si="55"/>
        <v>0</v>
      </c>
      <c r="D151" s="166">
        <f t="shared" si="55"/>
        <v>0</v>
      </c>
      <c r="E151" s="166">
        <f t="shared" si="55"/>
        <v>0</v>
      </c>
      <c r="F151" s="166">
        <f t="shared" si="55"/>
        <v>0</v>
      </c>
      <c r="G151" s="166">
        <f t="shared" si="55"/>
        <v>0</v>
      </c>
      <c r="H151" s="166">
        <f t="shared" si="55"/>
        <v>0</v>
      </c>
      <c r="I151" s="170">
        <f t="shared" si="55"/>
        <v>0</v>
      </c>
      <c r="J151" s="168">
        <f>J40*(1-'Форма ввода Многосторонний'!$C$73/100)</f>
        <v>0</v>
      </c>
      <c r="K151" s="108">
        <f t="shared" si="35"/>
        <v>0</v>
      </c>
      <c r="L151" s="169">
        <f>L40</f>
        <v>0</v>
      </c>
      <c r="M151" s="108">
        <f t="shared" si="33"/>
        <v>0</v>
      </c>
      <c r="N151" s="108">
        <f t="shared" si="36"/>
        <v>0</v>
      </c>
      <c r="O151" s="213">
        <f>O40</f>
        <v>0</v>
      </c>
      <c r="P151" s="144"/>
      <c r="Q151" s="145"/>
    </row>
    <row r="152" spans="1:17" s="110" customFormat="1">
      <c r="A152" s="165">
        <f t="shared" si="40"/>
        <v>0</v>
      </c>
      <c r="B152" s="166">
        <f t="shared" si="55"/>
        <v>0</v>
      </c>
      <c r="C152" s="166">
        <f t="shared" si="55"/>
        <v>0</v>
      </c>
      <c r="D152" s="166">
        <f t="shared" si="55"/>
        <v>0</v>
      </c>
      <c r="E152" s="166">
        <f t="shared" si="55"/>
        <v>0</v>
      </c>
      <c r="F152" s="166">
        <f t="shared" si="55"/>
        <v>0</v>
      </c>
      <c r="G152" s="166">
        <f t="shared" si="55"/>
        <v>0</v>
      </c>
      <c r="H152" s="166">
        <f t="shared" si="55"/>
        <v>0</v>
      </c>
      <c r="I152" s="170">
        <f t="shared" si="55"/>
        <v>0</v>
      </c>
      <c r="J152" s="168">
        <f>J41*(1-'Форма ввода Многосторонний'!$C$73/100)</f>
        <v>0</v>
      </c>
      <c r="K152" s="108">
        <f t="shared" si="35"/>
        <v>0</v>
      </c>
      <c r="L152" s="169">
        <f>L41</f>
        <v>0</v>
      </c>
      <c r="M152" s="108">
        <f t="shared" si="33"/>
        <v>0</v>
      </c>
      <c r="N152" s="108">
        <f t="shared" si="36"/>
        <v>0</v>
      </c>
      <c r="O152" s="213">
        <f>O41</f>
        <v>0</v>
      </c>
      <c r="P152" s="144"/>
      <c r="Q152" s="145"/>
    </row>
    <row r="153" spans="1:17" s="110" customFormat="1">
      <c r="A153" s="165">
        <f t="shared" si="40"/>
        <v>0</v>
      </c>
      <c r="B153" s="166">
        <f t="shared" si="55"/>
        <v>0</v>
      </c>
      <c r="C153" s="166">
        <f t="shared" si="55"/>
        <v>0</v>
      </c>
      <c r="D153" s="166">
        <f t="shared" si="55"/>
        <v>0</v>
      </c>
      <c r="E153" s="166">
        <f t="shared" si="55"/>
        <v>0</v>
      </c>
      <c r="F153" s="166">
        <f t="shared" si="55"/>
        <v>0</v>
      </c>
      <c r="G153" s="166">
        <f t="shared" si="55"/>
        <v>0</v>
      </c>
      <c r="H153" s="166">
        <f t="shared" si="55"/>
        <v>0</v>
      </c>
      <c r="I153" s="170">
        <f t="shared" si="55"/>
        <v>0</v>
      </c>
      <c r="J153" s="168">
        <f>J42*(1-'Форма ввода Многосторонний'!$C$73/100)</f>
        <v>0</v>
      </c>
      <c r="K153" s="108">
        <f t="shared" si="35"/>
        <v>0</v>
      </c>
      <c r="L153" s="169">
        <f>L42</f>
        <v>0</v>
      </c>
      <c r="M153" s="108">
        <f t="shared" si="33"/>
        <v>0</v>
      </c>
      <c r="N153" s="108">
        <f t="shared" si="36"/>
        <v>0</v>
      </c>
      <c r="O153" s="213">
        <f>O42</f>
        <v>0</v>
      </c>
      <c r="P153" s="144"/>
      <c r="Q153" s="145"/>
    </row>
    <row r="154" spans="1:17" s="110" customFormat="1">
      <c r="A154" s="210" t="str">
        <f t="shared" si="40"/>
        <v>ПОДЫТОГ :</v>
      </c>
      <c r="B154" s="211"/>
      <c r="C154" s="211"/>
      <c r="D154" s="211"/>
      <c r="E154" s="211"/>
      <c r="F154" s="211"/>
      <c r="G154" s="211"/>
      <c r="H154" s="211"/>
      <c r="I154" s="215"/>
      <c r="J154" s="204"/>
      <c r="K154" s="204">
        <f>SUM(K149:K153)</f>
        <v>0</v>
      </c>
      <c r="L154" s="172"/>
      <c r="M154" s="204">
        <f t="shared" ref="M154" si="56">SUM(M149:M153)</f>
        <v>0</v>
      </c>
      <c r="N154" s="204">
        <f t="shared" ref="N154" si="57">SUM(N149:N153)</f>
        <v>0</v>
      </c>
      <c r="O154" s="214"/>
      <c r="P154" s="144"/>
      <c r="Q154" s="145"/>
    </row>
    <row r="155" spans="1:17">
      <c r="A155" s="146"/>
      <c r="B155" s="146"/>
      <c r="C155" s="146"/>
      <c r="D155" s="146"/>
      <c r="E155" s="146"/>
      <c r="F155" s="146"/>
      <c r="G155" s="147"/>
      <c r="H155" s="147"/>
      <c r="I155" s="147"/>
      <c r="J155" s="147"/>
      <c r="K155" s="148"/>
      <c r="L155" s="148"/>
      <c r="M155" s="147"/>
      <c r="N155" s="147"/>
      <c r="O155" s="147"/>
      <c r="P155" s="147"/>
      <c r="Q155" s="146"/>
    </row>
    <row r="156" spans="1:17" ht="329.25" customHeight="1">
      <c r="A156" s="150" t="s">
        <v>49</v>
      </c>
      <c r="B156" s="332" t="s">
        <v>50</v>
      </c>
      <c r="C156" s="335"/>
      <c r="D156" s="335"/>
      <c r="E156" s="335"/>
      <c r="F156" s="335"/>
      <c r="G156" s="335"/>
      <c r="H156" s="335"/>
      <c r="I156" s="335"/>
      <c r="J156" s="335"/>
      <c r="K156" s="335"/>
      <c r="L156" s="335"/>
      <c r="M156" s="335"/>
      <c r="N156" s="335"/>
      <c r="O156" s="335"/>
      <c r="P156" s="335"/>
      <c r="Q156" s="335"/>
    </row>
    <row r="157" spans="1:17">
      <c r="A157" s="103" t="str">
        <f>IF('Форма ввода Многосторонний'!C71="нет","13.","14.")</f>
        <v>14.</v>
      </c>
      <c r="B157" s="327" t="s">
        <v>51</v>
      </c>
      <c r="C157" s="327"/>
      <c r="D157" s="327"/>
      <c r="E157" s="327"/>
      <c r="F157" s="327"/>
      <c r="G157" s="327"/>
      <c r="H157" s="327"/>
      <c r="I157" s="327"/>
      <c r="J157" s="327"/>
      <c r="K157" s="327"/>
      <c r="L157" s="327"/>
      <c r="M157" s="327"/>
      <c r="N157" s="327"/>
      <c r="O157" s="327"/>
      <c r="P157" s="327"/>
      <c r="Q157" s="327"/>
    </row>
    <row r="158" spans="1:17" ht="54.75" customHeight="1">
      <c r="A158" s="103"/>
      <c r="B158" s="328" t="str">
        <f>IF('Форма ввода Многосторонний'!D75="+",CONCATENATE("Адрес для направления оригинала  настоящего дополнительного соглашения, подписанного Поставщиком: ",'Форма ввода Многосторонний'!C75)," ")</f>
        <v xml:space="preserve">Адрес для направления оригинала  настоящего дополнительного соглашения, подписанного Поставщиком: </v>
      </c>
      <c r="C158" s="328"/>
      <c r="D158" s="328"/>
      <c r="E158" s="328"/>
      <c r="F158" s="328"/>
      <c r="G158" s="328"/>
      <c r="H158" s="328"/>
      <c r="I158" s="328"/>
      <c r="J158" s="328"/>
      <c r="K158" s="328"/>
      <c r="L158" s="328"/>
      <c r="M158" s="328"/>
      <c r="N158" s="328"/>
      <c r="O158" s="328"/>
      <c r="P158" s="328"/>
      <c r="Q158" s="328"/>
    </row>
    <row r="159" spans="1:17" ht="68.25" customHeight="1">
      <c r="A159" s="103"/>
      <c r="B159" s="328" t="str">
        <f>IF('Форма ввода Многосторонний'!D76="+",CONCATENATE("Адрес для направления оригинала  настоящего дополнительного соглашения, подписанного Покупателем: ",'Форма ввода Многосторонний'!C76)," ")</f>
        <v xml:space="preserve">Адрес для направления оригинала  настоящего дополнительного соглашения, подписанного Покупателем: </v>
      </c>
      <c r="C159" s="328"/>
      <c r="D159" s="328"/>
      <c r="E159" s="328"/>
      <c r="F159" s="328"/>
      <c r="G159" s="328"/>
      <c r="H159" s="328"/>
      <c r="I159" s="328"/>
      <c r="J159" s="328"/>
      <c r="K159" s="328"/>
      <c r="L159" s="328"/>
      <c r="M159" s="328"/>
      <c r="N159" s="328"/>
      <c r="O159" s="328"/>
      <c r="P159" s="328"/>
      <c r="Q159" s="328"/>
    </row>
    <row r="160" spans="1:17" ht="30.75" customHeight="1">
      <c r="A160" s="103"/>
      <c r="B160" s="328" t="str">
        <f>IF('Форма ввода Многосторонний'!D77="+",'Форма ввода Многосторонний'!C77," ")</f>
        <v xml:space="preserve"> </v>
      </c>
      <c r="C160" s="328"/>
      <c r="D160" s="328"/>
      <c r="E160" s="328"/>
      <c r="F160" s="328"/>
      <c r="G160" s="328"/>
      <c r="H160" s="328"/>
      <c r="I160" s="328"/>
      <c r="J160" s="328"/>
      <c r="K160" s="328"/>
      <c r="L160" s="328"/>
      <c r="M160" s="328"/>
      <c r="N160" s="328"/>
      <c r="O160" s="328"/>
      <c r="P160" s="328"/>
      <c r="Q160" s="328"/>
    </row>
    <row r="161" spans="1:17" ht="194.25" customHeight="1">
      <c r="A161" s="103"/>
      <c r="B161" s="328" t="str">
        <f>IF('Форма ввода Многосторонний'!D78="+",'Форма ввода Многосторонний'!C78," ")</f>
        <v xml:space="preserve"> </v>
      </c>
      <c r="C161" s="328"/>
      <c r="D161" s="328"/>
      <c r="E161" s="328"/>
      <c r="F161" s="328"/>
      <c r="G161" s="328"/>
      <c r="H161" s="328"/>
      <c r="I161" s="328"/>
      <c r="J161" s="328"/>
      <c r="K161" s="328"/>
      <c r="L161" s="328"/>
      <c r="M161" s="328"/>
      <c r="N161" s="328"/>
      <c r="O161" s="328"/>
      <c r="P161" s="328"/>
      <c r="Q161" s="328"/>
    </row>
    <row r="162" spans="1:17" ht="146.25" customHeight="1">
      <c r="A162" s="103"/>
      <c r="B162" s="328" t="str">
        <f>IF('Форма ввода Многосторонний'!D79="+",'Форма ввода Многосторонний'!C79," ")</f>
        <v xml:space="preserve"> </v>
      </c>
      <c r="C162" s="328"/>
      <c r="D162" s="328"/>
      <c r="E162" s="328"/>
      <c r="F162" s="328"/>
      <c r="G162" s="328"/>
      <c r="H162" s="328"/>
      <c r="I162" s="328"/>
      <c r="J162" s="328"/>
      <c r="K162" s="328"/>
      <c r="L162" s="328"/>
      <c r="M162" s="328"/>
      <c r="N162" s="328"/>
      <c r="O162" s="328"/>
      <c r="P162" s="328"/>
      <c r="Q162" s="328"/>
    </row>
    <row r="163" spans="1:17" ht="248.25" customHeight="1">
      <c r="A163" s="103"/>
      <c r="B163" s="328" t="str">
        <f>IF('Форма ввода Многосторонний'!D81="+",'Форма ввода Многосторонний'!C81," ")</f>
        <v xml:space="preserve"> </v>
      </c>
      <c r="C163" s="328"/>
      <c r="D163" s="328"/>
      <c r="E163" s="328"/>
      <c r="F163" s="328"/>
      <c r="G163" s="328"/>
      <c r="H163" s="328"/>
      <c r="I163" s="328"/>
      <c r="J163" s="328"/>
      <c r="K163" s="328"/>
      <c r="L163" s="328"/>
      <c r="M163" s="328"/>
      <c r="N163" s="328"/>
      <c r="O163" s="328"/>
      <c r="P163" s="328"/>
      <c r="Q163" s="328"/>
    </row>
    <row r="164" spans="1:17" ht="292.7" customHeight="1">
      <c r="A164" s="103"/>
      <c r="B164" s="328" t="str">
        <f>IF('Форма ввода Многосторонний'!D82="+",'Форма ввода Многосторонний'!C82," ")</f>
        <v xml:space="preserve"> </v>
      </c>
      <c r="C164" s="328"/>
      <c r="D164" s="328"/>
      <c r="E164" s="328"/>
      <c r="F164" s="328"/>
      <c r="G164" s="328"/>
      <c r="H164" s="328"/>
      <c r="I164" s="328"/>
      <c r="J164" s="328"/>
      <c r="K164" s="328"/>
      <c r="L164" s="328"/>
      <c r="M164" s="328"/>
      <c r="N164" s="328"/>
      <c r="O164" s="328"/>
      <c r="P164" s="328"/>
      <c r="Q164" s="328"/>
    </row>
    <row r="165" spans="1:17" ht="0.75" hidden="1" customHeight="1">
      <c r="A165" s="103"/>
      <c r="B165" s="328" t="str">
        <f>IF('Форма ввода Многосторонний'!D86="+",'Форма ввода Многосторонний'!C86," ")</f>
        <v xml:space="preserve"> </v>
      </c>
      <c r="C165" s="328"/>
      <c r="D165" s="328"/>
      <c r="E165" s="328"/>
      <c r="F165" s="328"/>
      <c r="G165" s="328"/>
      <c r="H165" s="328"/>
      <c r="I165" s="328"/>
      <c r="J165" s="328"/>
      <c r="K165" s="328"/>
      <c r="L165" s="328"/>
      <c r="M165" s="328"/>
      <c r="N165" s="328"/>
      <c r="O165" s="328"/>
      <c r="P165" s="328"/>
      <c r="Q165" s="328"/>
    </row>
    <row r="166" spans="1:17" ht="188.45" customHeight="1">
      <c r="A166" s="103"/>
      <c r="B166" s="328" t="str">
        <f>IF('Форма ввода Многосторонний'!D87="+",'Форма ввода Многосторонний'!C87," ")</f>
        <v xml:space="preserve"> </v>
      </c>
      <c r="C166" s="328"/>
      <c r="D166" s="328"/>
      <c r="E166" s="328"/>
      <c r="F166" s="328"/>
      <c r="G166" s="328"/>
      <c r="H166" s="328"/>
      <c r="I166" s="328"/>
      <c r="J166" s="328"/>
      <c r="K166" s="328"/>
      <c r="L166" s="328"/>
      <c r="M166" s="328"/>
      <c r="N166" s="328"/>
      <c r="O166" s="328"/>
      <c r="P166" s="328"/>
      <c r="Q166" s="328"/>
    </row>
    <row r="167" spans="1:17" ht="153.75" customHeight="1">
      <c r="A167" s="103"/>
      <c r="B167" s="328"/>
      <c r="C167" s="328"/>
      <c r="D167" s="328"/>
      <c r="E167" s="328"/>
      <c r="F167" s="328"/>
      <c r="G167" s="328"/>
      <c r="H167" s="328"/>
      <c r="I167" s="328"/>
      <c r="J167" s="328"/>
      <c r="K167" s="328"/>
      <c r="L167" s="328"/>
      <c r="M167" s="328"/>
      <c r="N167" s="328"/>
      <c r="O167" s="328"/>
      <c r="P167" s="328"/>
      <c r="Q167" s="328"/>
    </row>
    <row r="168" spans="1:17" ht="140.25" customHeight="1">
      <c r="A168" s="103"/>
      <c r="B168" s="328" t="str">
        <f>IF('Форма ввода Многосторонний'!D90="+",'Форма ввода Многосторонний'!C90," ")</f>
        <v xml:space="preserve"> </v>
      </c>
      <c r="C168" s="328"/>
      <c r="D168" s="328"/>
      <c r="E168" s="328"/>
      <c r="F168" s="328"/>
      <c r="G168" s="328"/>
      <c r="H168" s="328"/>
      <c r="I168" s="328"/>
      <c r="J168" s="328"/>
      <c r="K168" s="328"/>
      <c r="L168" s="328"/>
      <c r="M168" s="328"/>
      <c r="N168" s="328"/>
      <c r="O168" s="328"/>
      <c r="P168" s="328"/>
      <c r="Q168" s="328"/>
    </row>
    <row r="169" spans="1:17" ht="51.75" customHeight="1">
      <c r="A169" s="103"/>
      <c r="B169" s="328" t="str">
        <f>IF('Форма ввода Многосторонний'!D91="+",'Форма ввода Многосторонний'!C91," ")</f>
        <v xml:space="preserve"> </v>
      </c>
      <c r="C169" s="328"/>
      <c r="D169" s="328"/>
      <c r="E169" s="328"/>
      <c r="F169" s="328"/>
      <c r="G169" s="328"/>
      <c r="H169" s="328"/>
      <c r="I169" s="328"/>
      <c r="J169" s="328"/>
      <c r="K169" s="328"/>
      <c r="L169" s="328"/>
      <c r="M169" s="328"/>
      <c r="N169" s="328"/>
      <c r="O169" s="328"/>
      <c r="P169" s="328"/>
      <c r="Q169" s="328"/>
    </row>
    <row r="170" spans="1:17" ht="144.75" customHeight="1">
      <c r="A170" s="103"/>
      <c r="B170" s="328" t="str">
        <f>IF('Форма ввода Многосторонний'!D92="+",'Форма ввода Многосторонний'!C92," ")</f>
        <v xml:space="preserve"> </v>
      </c>
      <c r="C170" s="328"/>
      <c r="D170" s="328"/>
      <c r="E170" s="328"/>
      <c r="F170" s="328"/>
      <c r="G170" s="328"/>
      <c r="H170" s="328"/>
      <c r="I170" s="328"/>
      <c r="J170" s="328"/>
      <c r="K170" s="328"/>
      <c r="L170" s="328"/>
      <c r="M170" s="328"/>
      <c r="N170" s="328"/>
      <c r="O170" s="328"/>
      <c r="P170" s="328"/>
      <c r="Q170" s="328"/>
    </row>
    <row r="171" spans="1:17" ht="29.25" customHeight="1">
      <c r="A171" s="103"/>
      <c r="B171" s="328" t="str">
        <f>IF('Форма ввода Многосторонний'!D93="+",'Форма ввода Многосторонний'!C93," ")</f>
        <v xml:space="preserve"> </v>
      </c>
      <c r="C171" s="328"/>
      <c r="D171" s="328"/>
      <c r="E171" s="328"/>
      <c r="F171" s="328"/>
      <c r="G171" s="328"/>
      <c r="H171" s="328"/>
      <c r="I171" s="328"/>
      <c r="J171" s="328"/>
      <c r="K171" s="328"/>
      <c r="L171" s="328"/>
      <c r="M171" s="328"/>
      <c r="N171" s="328"/>
      <c r="O171" s="328"/>
      <c r="P171" s="328"/>
      <c r="Q171" s="328"/>
    </row>
    <row r="172" spans="1:17" ht="83.25" customHeight="1">
      <c r="A172" s="103"/>
      <c r="B172" s="328" t="str">
        <f>IF('Форма ввода Многосторонний'!D94="+",'Форма ввода Многосторонний'!C94," ")</f>
        <v xml:space="preserve"> </v>
      </c>
      <c r="C172" s="328"/>
      <c r="D172" s="328"/>
      <c r="E172" s="328"/>
      <c r="F172" s="328"/>
      <c r="G172" s="328"/>
      <c r="H172" s="328"/>
      <c r="I172" s="328"/>
      <c r="J172" s="328"/>
      <c r="K172" s="328"/>
      <c r="L172" s="328"/>
      <c r="M172" s="328"/>
      <c r="N172" s="328"/>
      <c r="O172" s="328"/>
      <c r="P172" s="328"/>
      <c r="Q172" s="328"/>
    </row>
    <row r="173" spans="1:17" ht="204" customHeight="1">
      <c r="B173" s="328" t="s">
        <v>52</v>
      </c>
      <c r="C173" s="328"/>
      <c r="D173" s="328"/>
      <c r="E173" s="328"/>
      <c r="F173" s="328"/>
      <c r="G173" s="328"/>
      <c r="H173" s="328"/>
      <c r="I173" s="328"/>
      <c r="J173" s="328"/>
      <c r="K173" s="328"/>
      <c r="L173" s="328"/>
      <c r="M173" s="328"/>
      <c r="N173" s="328"/>
      <c r="O173" s="328"/>
      <c r="P173" s="328"/>
      <c r="Q173" s="328"/>
    </row>
    <row r="174" spans="1:17" ht="42" customHeight="1">
      <c r="B174" s="328" t="s">
        <v>53</v>
      </c>
      <c r="C174" s="328"/>
      <c r="D174" s="328"/>
      <c r="E174" s="328"/>
      <c r="F174" s="328"/>
      <c r="G174" s="328"/>
      <c r="H174" s="328"/>
      <c r="I174" s="328"/>
      <c r="J174" s="328"/>
      <c r="K174" s="328"/>
      <c r="L174" s="328"/>
      <c r="M174" s="328"/>
      <c r="N174" s="328"/>
      <c r="O174" s="328"/>
      <c r="P174" s="328"/>
      <c r="Q174" s="328"/>
    </row>
    <row r="175" spans="1:17" ht="185.25" customHeight="1">
      <c r="A175" s="103"/>
      <c r="B175" s="328" t="s">
        <v>54</v>
      </c>
      <c r="C175" s="328"/>
      <c r="D175" s="328"/>
      <c r="E175" s="328"/>
      <c r="F175" s="328"/>
      <c r="G175" s="328"/>
      <c r="H175" s="328"/>
      <c r="I175" s="328"/>
      <c r="J175" s="328"/>
      <c r="K175" s="328"/>
      <c r="L175" s="328"/>
      <c r="M175" s="328"/>
      <c r="N175" s="328"/>
      <c r="O175" s="328"/>
      <c r="P175" s="328"/>
      <c r="Q175" s="328"/>
    </row>
    <row r="176" spans="1:17" ht="83.25" customHeight="1">
      <c r="A176" s="103"/>
      <c r="B176" s="151" t="s">
        <v>55</v>
      </c>
      <c r="C176" s="151" t="s">
        <v>56</v>
      </c>
      <c r="D176" s="151" t="s">
        <v>57</v>
      </c>
      <c r="E176" s="336" t="s">
        <v>58</v>
      </c>
      <c r="F176" s="337"/>
      <c r="G176" s="337"/>
      <c r="H176" s="337"/>
      <c r="I176" s="337"/>
      <c r="J176" s="337"/>
      <c r="K176" s="338"/>
      <c r="L176" s="132"/>
      <c r="M176" s="132"/>
      <c r="N176" s="132"/>
      <c r="O176" s="132"/>
      <c r="P176" s="132"/>
      <c r="Q176" s="132"/>
    </row>
    <row r="177" spans="1:18" ht="102.2" customHeight="1">
      <c r="A177" s="103"/>
      <c r="B177" s="152" t="s">
        <v>59</v>
      </c>
      <c r="C177" s="152" t="s">
        <v>60</v>
      </c>
      <c r="D177" s="152" t="s">
        <v>61</v>
      </c>
      <c r="E177" s="339" t="s">
        <v>62</v>
      </c>
      <c r="F177" s="340"/>
      <c r="G177" s="340"/>
      <c r="H177" s="340"/>
      <c r="I177" s="340"/>
      <c r="J177" s="340"/>
      <c r="K177" s="341"/>
      <c r="L177" s="132"/>
      <c r="M177" s="132"/>
      <c r="N177" s="132"/>
      <c r="O177" s="132"/>
      <c r="P177" s="132"/>
      <c r="Q177" s="132"/>
    </row>
    <row r="178" spans="1:18" ht="143.44999999999999" customHeight="1">
      <c r="A178" s="103"/>
      <c r="B178" s="153" t="s">
        <v>63</v>
      </c>
      <c r="C178" s="152" t="s">
        <v>60</v>
      </c>
      <c r="D178" s="152" t="s">
        <v>61</v>
      </c>
      <c r="E178" s="339" t="s">
        <v>64</v>
      </c>
      <c r="F178" s="340"/>
      <c r="G178" s="340"/>
      <c r="H178" s="340"/>
      <c r="I178" s="340"/>
      <c r="J178" s="340"/>
      <c r="K178" s="341"/>
      <c r="L178" s="132"/>
      <c r="M178" s="132"/>
      <c r="N178" s="132"/>
      <c r="O178" s="132"/>
      <c r="P178" s="132"/>
      <c r="Q178" s="132"/>
    </row>
    <row r="179" spans="1:18" ht="143.44999999999999" customHeight="1">
      <c r="A179" s="103"/>
      <c r="B179" s="342" t="s">
        <v>65</v>
      </c>
      <c r="C179" s="343"/>
      <c r="D179" s="343"/>
      <c r="E179" s="343"/>
      <c r="F179" s="343"/>
      <c r="G179" s="343"/>
      <c r="H179" s="343"/>
      <c r="I179" s="343"/>
      <c r="J179" s="343"/>
      <c r="K179" s="344"/>
      <c r="L179" s="132"/>
      <c r="M179" s="132"/>
      <c r="N179" s="132"/>
      <c r="O179" s="132"/>
      <c r="P179" s="132"/>
      <c r="Q179" s="132"/>
    </row>
    <row r="180" spans="1:18" ht="151.5" customHeight="1">
      <c r="A180" s="103"/>
      <c r="B180" s="328" t="s">
        <v>66</v>
      </c>
      <c r="C180" s="328"/>
      <c r="D180" s="328"/>
      <c r="E180" s="328"/>
      <c r="F180" s="328"/>
      <c r="G180" s="328"/>
      <c r="H180" s="328"/>
      <c r="I180" s="328"/>
      <c r="J180" s="328"/>
      <c r="K180" s="328"/>
      <c r="L180" s="328"/>
      <c r="M180" s="328"/>
      <c r="N180" s="328"/>
      <c r="O180" s="328"/>
      <c r="P180" s="328"/>
      <c r="Q180" s="328"/>
    </row>
    <row r="181" spans="1:18" ht="84.2" customHeight="1">
      <c r="A181" s="103" t="str">
        <f>IF('Форма ввода Многосторонний'!C71="нет","14.","15.")</f>
        <v>15.</v>
      </c>
      <c r="B181" s="332" t="str">
        <f>CONCATENATE("Во всем остальном, что не предусмотрено настоящим дополнительным соглашением, действуют условия Договора поставки №",'Форма ввода Многосторонний'!C4," от ",TEXT(DAY('Форма ввода Многосторонний'!C5),"00")&amp;" "&amp;VLOOKUP(MONTH('Форма ввода Многосторонний'!C5),Справочник!$D$2:$E$13,2,0)&amp;" "&amp;YEAR('Форма ввода Многосторонний'!C5)&amp;" г.")</f>
        <v>Во всем остальном, что не предусмотрено настоящим дополнительным соглашением, действуют условия Договора поставки № от 00 января 1900 г.</v>
      </c>
      <c r="C181" s="332"/>
      <c r="D181" s="332"/>
      <c r="E181" s="332"/>
      <c r="F181" s="332"/>
      <c r="G181" s="332"/>
      <c r="H181" s="332"/>
      <c r="I181" s="332"/>
      <c r="J181" s="332"/>
      <c r="K181" s="332"/>
      <c r="L181" s="332"/>
      <c r="M181" s="332"/>
      <c r="N181" s="332"/>
      <c r="O181" s="332"/>
      <c r="P181" s="332"/>
      <c r="Q181" s="332"/>
    </row>
    <row r="182" spans="1:18" ht="150.75" customHeight="1">
      <c r="A182" s="103" t="str">
        <f>IF('Форма ввода Многосторонний'!C96="нет","",IF('Форма ввода Многосторонний'!C71="нет","15.","16."))</f>
        <v/>
      </c>
      <c r="B182" s="332" t="str">
        <f>IF('Форма ввода Многосторонний'!C96="нет","",CONCATENATE("Перечень Приложений к настоящему Дополнительному Соглашению:
",'Форма ввода Многосторонний'!C97))</f>
        <v/>
      </c>
      <c r="C182" s="332"/>
      <c r="D182" s="332"/>
      <c r="E182" s="332"/>
      <c r="F182" s="332"/>
      <c r="G182" s="332"/>
      <c r="H182" s="332"/>
      <c r="I182" s="332"/>
      <c r="J182" s="332"/>
      <c r="K182" s="332"/>
      <c r="L182" s="332"/>
      <c r="M182" s="332"/>
      <c r="N182" s="332"/>
      <c r="O182" s="332"/>
      <c r="P182" s="332"/>
      <c r="Q182" s="332"/>
      <c r="R182" s="132"/>
    </row>
    <row r="183" spans="1:18" ht="77.25" customHeight="1">
      <c r="A183" s="103"/>
      <c r="B183" s="332" t="s">
        <v>67</v>
      </c>
      <c r="C183" s="332"/>
      <c r="D183" s="332"/>
      <c r="E183" s="332"/>
      <c r="F183" s="332"/>
      <c r="G183" s="332"/>
      <c r="H183" s="332"/>
      <c r="I183" s="332"/>
      <c r="J183" s="332"/>
      <c r="K183" s="332"/>
      <c r="L183" s="332"/>
      <c r="M183" s="332"/>
      <c r="N183" s="332"/>
      <c r="O183" s="332"/>
      <c r="P183" s="332"/>
      <c r="Q183" s="332"/>
    </row>
    <row r="184" spans="1:18">
      <c r="A184" s="348" t="str">
        <f>IF(AND('Форма ввода Многосторонний'!C71="нет",'Форма ввода Многосторонний'!C96="нет"),"15. Подписи Сторон",IF(OR('Форма ввода Многосторонний'!C71="нет",'Форма ввода Многосторонний'!C96="нет"),"16. Подписи Сторон","17. Подписи Сторон"))</f>
        <v>16. Подписи Сторон</v>
      </c>
      <c r="B184" s="348"/>
      <c r="C184" s="348"/>
      <c r="D184" s="348"/>
      <c r="E184" s="348"/>
      <c r="F184" s="348"/>
      <c r="G184" s="348"/>
      <c r="H184" s="348"/>
      <c r="I184" s="348"/>
      <c r="J184" s="348"/>
      <c r="K184" s="348"/>
      <c r="L184" s="348"/>
      <c r="M184" s="348"/>
      <c r="N184" s="348"/>
      <c r="O184" s="348"/>
      <c r="P184" s="348"/>
      <c r="Q184" s="348"/>
    </row>
    <row r="185" spans="1:18">
      <c r="B185" s="96"/>
      <c r="C185" s="96"/>
      <c r="D185" s="96"/>
      <c r="E185" s="96"/>
      <c r="F185" s="96"/>
      <c r="G185" s="154"/>
      <c r="H185" s="154"/>
      <c r="I185" s="154"/>
      <c r="J185" s="154"/>
      <c r="K185" s="154"/>
      <c r="L185" s="154"/>
      <c r="M185" s="154"/>
      <c r="N185" s="154"/>
      <c r="O185" s="154"/>
      <c r="P185" s="154"/>
      <c r="Q185" s="154"/>
    </row>
    <row r="186" spans="1:18">
      <c r="B186" s="345" t="s">
        <v>68</v>
      </c>
      <c r="C186" s="346"/>
      <c r="D186" s="346"/>
      <c r="E186" s="346"/>
      <c r="F186" s="347"/>
      <c r="G186" s="345" t="s">
        <v>69</v>
      </c>
      <c r="H186" s="346"/>
      <c r="I186" s="346"/>
      <c r="J186" s="346"/>
      <c r="K186" s="346"/>
      <c r="L186" s="346"/>
      <c r="M186" s="346"/>
      <c r="N186" s="346"/>
      <c r="O186" s="346"/>
      <c r="P186" s="346"/>
      <c r="Q186" s="347"/>
    </row>
    <row r="187" spans="1:18">
      <c r="B187" s="352">
        <f>'Форма ввода Многосторонний'!C13</f>
        <v>0</v>
      </c>
      <c r="C187" s="352"/>
      <c r="D187" s="352"/>
      <c r="E187" s="352"/>
      <c r="F187" s="352"/>
      <c r="G187" s="216"/>
      <c r="H187" s="384">
        <f>'Форма ввода Многосторонний'!C115</f>
        <v>0</v>
      </c>
      <c r="I187" s="385"/>
      <c r="J187" s="385"/>
      <c r="K187" s="385"/>
      <c r="L187" s="385"/>
      <c r="M187" s="385"/>
      <c r="N187" s="385"/>
      <c r="O187" s="385"/>
      <c r="P187" s="385"/>
      <c r="Q187" s="386"/>
    </row>
    <row r="188" spans="1:18">
      <c r="B188" s="349" t="str">
        <f>CONCATENATE("ИНН ",'Форма ввода Многосторонний'!C102)</f>
        <v xml:space="preserve">ИНН </v>
      </c>
      <c r="C188" s="350"/>
      <c r="D188" s="350"/>
      <c r="E188" s="350"/>
      <c r="F188" s="351"/>
      <c r="G188" s="217"/>
      <c r="H188" s="369"/>
      <c r="I188" s="369"/>
      <c r="J188" s="369"/>
      <c r="K188" s="369"/>
      <c r="L188" s="369"/>
      <c r="M188" s="369"/>
      <c r="N188" s="369"/>
      <c r="O188" s="369"/>
      <c r="P188" s="369"/>
      <c r="Q188" s="387"/>
    </row>
    <row r="189" spans="1:18">
      <c r="B189" s="349" t="str">
        <f>CONCATENATE("КПП ",'Форма ввода Многосторонний'!C103)</f>
        <v xml:space="preserve">КПП </v>
      </c>
      <c r="C189" s="350"/>
      <c r="D189" s="350"/>
      <c r="E189" s="350"/>
      <c r="F189" s="351"/>
      <c r="G189" s="217"/>
      <c r="H189" s="369"/>
      <c r="I189" s="369"/>
      <c r="J189" s="369"/>
      <c r="K189" s="369"/>
      <c r="L189" s="369"/>
      <c r="M189" s="369"/>
      <c r="N189" s="369"/>
      <c r="O189" s="369"/>
      <c r="P189" s="369"/>
      <c r="Q189" s="387"/>
    </row>
    <row r="190" spans="1:18">
      <c r="B190" s="315" t="str">
        <f>CONCATENATE("ОГРН ",'Форма ввода Многосторонний'!C108)</f>
        <v xml:space="preserve">ОГРН </v>
      </c>
      <c r="C190" s="316"/>
      <c r="D190" s="316"/>
      <c r="E190" s="316"/>
      <c r="F190" s="317"/>
      <c r="G190" s="217"/>
      <c r="H190" s="369"/>
      <c r="I190" s="369"/>
      <c r="J190" s="369"/>
      <c r="K190" s="369"/>
      <c r="L190" s="369"/>
      <c r="M190" s="369"/>
      <c r="N190" s="369"/>
      <c r="O190" s="369"/>
      <c r="P190" s="369"/>
      <c r="Q190" s="387"/>
    </row>
    <row r="191" spans="1:18" s="102" customFormat="1">
      <c r="B191" s="357" t="s">
        <v>70</v>
      </c>
      <c r="C191" s="356"/>
      <c r="D191" s="356"/>
      <c r="E191" s="356"/>
      <c r="F191" s="358"/>
      <c r="G191" s="217"/>
      <c r="H191" s="369"/>
      <c r="I191" s="369"/>
      <c r="J191" s="369"/>
      <c r="K191" s="369"/>
      <c r="L191" s="369"/>
      <c r="M191" s="369"/>
      <c r="N191" s="369"/>
      <c r="O191" s="369"/>
      <c r="P191" s="369"/>
      <c r="Q191" s="387"/>
    </row>
    <row r="192" spans="1:18" s="129" customFormat="1">
      <c r="B192" s="359" t="str">
        <f>CONCATENATE("Наименование банка: ",'Форма ввода Многосторонний'!C104)</f>
        <v xml:space="preserve">Наименование банка: </v>
      </c>
      <c r="C192" s="328"/>
      <c r="D192" s="328"/>
      <c r="E192" s="328"/>
      <c r="F192" s="360"/>
      <c r="G192" s="217"/>
      <c r="H192" s="369"/>
      <c r="I192" s="369"/>
      <c r="J192" s="369"/>
      <c r="K192" s="369"/>
      <c r="L192" s="369"/>
      <c r="M192" s="369"/>
      <c r="N192" s="369"/>
      <c r="O192" s="369"/>
      <c r="P192" s="369"/>
      <c r="Q192" s="387"/>
    </row>
    <row r="193" spans="2:17">
      <c r="B193" s="349" t="str">
        <f>CONCATENATE("р/счет: ",'Форма ввода Многосторонний'!C105)</f>
        <v xml:space="preserve">р/счет: </v>
      </c>
      <c r="C193" s="350"/>
      <c r="D193" s="350"/>
      <c r="E193" s="350"/>
      <c r="F193" s="351"/>
      <c r="G193" s="217"/>
      <c r="H193" s="369"/>
      <c r="I193" s="369"/>
      <c r="J193" s="369"/>
      <c r="K193" s="369"/>
      <c r="L193" s="369"/>
      <c r="M193" s="369"/>
      <c r="N193" s="369"/>
      <c r="O193" s="369"/>
      <c r="P193" s="369"/>
      <c r="Q193" s="387"/>
    </row>
    <row r="194" spans="2:17">
      <c r="B194" s="349" t="str">
        <f>CONCATENATE("БИК: ",'Форма ввода Многосторонний'!C106)</f>
        <v xml:space="preserve">БИК: </v>
      </c>
      <c r="C194" s="350"/>
      <c r="D194" s="350"/>
      <c r="E194" s="350"/>
      <c r="F194" s="351"/>
      <c r="G194" s="217"/>
      <c r="H194" s="369"/>
      <c r="I194" s="369"/>
      <c r="J194" s="369"/>
      <c r="K194" s="369"/>
      <c r="L194" s="369"/>
      <c r="M194" s="369"/>
      <c r="N194" s="369"/>
      <c r="O194" s="369"/>
      <c r="P194" s="369"/>
      <c r="Q194" s="387"/>
    </row>
    <row r="195" spans="2:17">
      <c r="B195" s="349" t="str">
        <f>CONCATENATE("к/счет: ",'Форма ввода Многосторонний'!C107)</f>
        <v xml:space="preserve">к/счет: </v>
      </c>
      <c r="C195" s="350"/>
      <c r="D195" s="350"/>
      <c r="E195" s="350"/>
      <c r="F195" s="351"/>
      <c r="G195" s="217"/>
      <c r="H195" s="369"/>
      <c r="I195" s="369"/>
      <c r="J195" s="369"/>
      <c r="K195" s="369"/>
      <c r="L195" s="369"/>
      <c r="M195" s="369"/>
      <c r="N195" s="369"/>
      <c r="O195" s="369"/>
      <c r="P195" s="369"/>
      <c r="Q195" s="387"/>
    </row>
    <row r="196" spans="2:17" ht="35.450000000000003" customHeight="1">
      <c r="B196" s="361" t="str">
        <f>CONCATENATE("__________________ / ",'Форма ввода Многосторонний'!C109," /")</f>
        <v>__________________ /  /</v>
      </c>
      <c r="C196" s="362"/>
      <c r="D196" s="362"/>
      <c r="E196" s="362"/>
      <c r="F196" s="363"/>
      <c r="G196" s="159"/>
      <c r="H196" s="362" t="str">
        <f>IF('Форма ввода Многосторонний'!C121="Альтернативное подписание","___________________/___________________________/",CONCATENATE("___________________ / ",'Форма ввода Многосторонний'!C120," /"))</f>
        <v>___________________ /  /</v>
      </c>
      <c r="I196" s="362"/>
      <c r="J196" s="362"/>
      <c r="K196" s="362"/>
      <c r="L196" s="362"/>
      <c r="M196" s="362"/>
      <c r="N196" s="362"/>
      <c r="O196" s="362"/>
      <c r="P196" s="362"/>
      <c r="Q196" s="363"/>
    </row>
    <row r="197" spans="2:17" ht="71.45" customHeight="1">
      <c r="B197" s="364" t="str">
        <f>IFERROR(IF('Форма ввода Многосторонний'!C110="ИП","",
IF('Форма ввода Многосторонний'!C110="Договора управления",
CONCATENATE("на основании Договора управления № ",'Форма ввода Многосторонний'!C111," 
от ",TEXT(DAY('Форма ввода Многосторонний'!$C$112),"00")&amp;" "&amp;VLOOKUP(MONTH('Форма ввода Многосторонний'!$C$112),Справочник!$D$2:$E$13,2,0)&amp;" "&amp;YEAR('Форма ввода Многосторонний'!$C$112)&amp;" г. и устава."),
IF('Форма ввода Многосторонний'!C110="Устава",
CONCATENATE("на основании ",'Форма ввода Многосторонний'!C110,"."),
CONCATENATE("на основании ",'Форма ввода Многосторонний'!C110," № ",'Форма ввода Многосторонний'!C111," от ",TEXT(DAY('Форма ввода Многосторонний'!$C$112),"00")&amp;" "&amp;VLOOKUP(MONTH('Форма ввода Многосторонний'!$C$112),Справочник!$D$2:$E$13,2,0)&amp;" "&amp;YEAR('Форма ввода Многосторонний'!$C$112)&amp;" г.")))), "Дату на форме ввода необходимо вводить в формате ДД.ММ.ГГГГ")</f>
        <v>на основании (Выпадающий список) №  от 00 января 1900 г.</v>
      </c>
      <c r="C197" s="365"/>
      <c r="D197" s="365"/>
      <c r="E197" s="365"/>
      <c r="F197" s="366"/>
      <c r="G197" s="160"/>
      <c r="H197" s="367" t="str">
        <f>IFERROR(IF('Форма ввода Многосторонний'!C121="Устава",
CONCATENATE("на основании ",'Форма ввода Многосторонний'!C121,"."),IF('Форма ввода Многосторонний'!C121="Альтернативное подписание"," ",
CONCATENATE("на основании ",'Форма ввода Многосторонний'!C121," № ",'Форма ввода Многосторонний'!C122," от ",TEXT(DAY('Форма ввода Многосторонний'!$C$123),"00")&amp;" "&amp;VLOOKUP(MONTH('Форма ввода Многосторонний'!$C$123),Справочник!$D$2:$E$13,2,0)&amp;" "&amp;YEAR('Форма ввода Многосторонний'!$C$123)&amp;" г."))), "Дату на форме ввода необходимо вводить в формате ДД.ММ.ГГГГ")</f>
        <v>на основании Доверенности №  от 00 января 1900 г.</v>
      </c>
      <c r="I197" s="367"/>
      <c r="J197" s="367"/>
      <c r="K197" s="367"/>
      <c r="L197" s="367"/>
      <c r="M197" s="367"/>
      <c r="N197" s="367"/>
      <c r="O197" s="367"/>
      <c r="P197" s="367"/>
      <c r="Q197" s="368"/>
    </row>
    <row r="198" spans="2:17">
      <c r="B198" s="161"/>
      <c r="C198" s="138" t="s">
        <v>71</v>
      </c>
      <c r="D198" s="138"/>
      <c r="E198" s="138"/>
      <c r="F198" s="138"/>
      <c r="G198" s="138"/>
      <c r="H198" s="162"/>
      <c r="I198" s="138"/>
      <c r="J198" s="138"/>
      <c r="K198" s="138"/>
      <c r="L198" s="138"/>
    </row>
    <row r="199" spans="2:17">
      <c r="B199" s="161"/>
      <c r="K199" s="138"/>
      <c r="L199" s="138"/>
    </row>
  </sheetData>
  <sheetProtection algorithmName="SHA-512" hashValue="TbijPXYZuC8kP+yTWzgGjXbJH2uD84gOLP42z5n4wY2xeKnQrtB0nPSlfSjqLuQhnFTDlMir7K/PenY8VxJ37A==" saltValue="SiLzw73/PHZ9WNkc0d+NUw==" spinCount="100000" sheet="1" formatCells="0" formatColumns="0" formatRows="0" insertRows="0" deleteRows="0" sort="0" autoFilter="0"/>
  <dataConsolidate/>
  <mergeCells count="79">
    <mergeCell ref="A1:B1"/>
    <mergeCell ref="K1:Q1"/>
    <mergeCell ref="K2:Q2"/>
    <mergeCell ref="M4:Q4"/>
    <mergeCell ref="B5:Q5"/>
    <mergeCell ref="B6:Q6"/>
    <mergeCell ref="B47:Q47"/>
    <mergeCell ref="B51:R51"/>
    <mergeCell ref="B53:R53"/>
    <mergeCell ref="B49:R49"/>
    <mergeCell ref="B69:Q69"/>
    <mergeCell ref="B54:Q54"/>
    <mergeCell ref="B55:Q55"/>
    <mergeCell ref="B56:Q56"/>
    <mergeCell ref="C57:R57"/>
    <mergeCell ref="B59:R59"/>
    <mergeCell ref="B60:R60"/>
    <mergeCell ref="B61:Q61"/>
    <mergeCell ref="B65:Q65"/>
    <mergeCell ref="B66:Q66"/>
    <mergeCell ref="B67:Q67"/>
    <mergeCell ref="B68:Q68"/>
    <mergeCell ref="B62:C62"/>
    <mergeCell ref="B64:C64"/>
    <mergeCell ref="B63:R63"/>
    <mergeCell ref="B157:Q157"/>
    <mergeCell ref="B70:Q70"/>
    <mergeCell ref="B71:Q71"/>
    <mergeCell ref="B72:Q72"/>
    <mergeCell ref="B73:Q73"/>
    <mergeCell ref="B74:Q74"/>
    <mergeCell ref="B75:Q75"/>
    <mergeCell ref="B76:Q76"/>
    <mergeCell ref="B77:Q77"/>
    <mergeCell ref="B78:Q78"/>
    <mergeCell ref="B117:Q117"/>
    <mergeCell ref="B156:Q156"/>
    <mergeCell ref="B169:Q169"/>
    <mergeCell ref="B158:Q158"/>
    <mergeCell ref="B159:Q159"/>
    <mergeCell ref="B160:Q160"/>
    <mergeCell ref="B161:Q161"/>
    <mergeCell ref="B162:Q162"/>
    <mergeCell ref="B163:Q163"/>
    <mergeCell ref="B164:Q164"/>
    <mergeCell ref="B165:Q165"/>
    <mergeCell ref="B166:Q166"/>
    <mergeCell ref="B167:Q167"/>
    <mergeCell ref="B168:Q168"/>
    <mergeCell ref="B181:Q181"/>
    <mergeCell ref="B170:Q170"/>
    <mergeCell ref="B171:Q171"/>
    <mergeCell ref="B172:Q172"/>
    <mergeCell ref="B173:Q173"/>
    <mergeCell ref="B174:Q174"/>
    <mergeCell ref="B175:Q175"/>
    <mergeCell ref="E176:K176"/>
    <mergeCell ref="E177:K177"/>
    <mergeCell ref="E178:K178"/>
    <mergeCell ref="B179:K179"/>
    <mergeCell ref="B180:Q180"/>
    <mergeCell ref="B182:Q182"/>
    <mergeCell ref="B183:Q183"/>
    <mergeCell ref="A184:Q184"/>
    <mergeCell ref="B186:F186"/>
    <mergeCell ref="G186:Q186"/>
    <mergeCell ref="B195:F195"/>
    <mergeCell ref="B196:F196"/>
    <mergeCell ref="H196:Q196"/>
    <mergeCell ref="B197:F197"/>
    <mergeCell ref="H197:Q197"/>
    <mergeCell ref="H187:Q195"/>
    <mergeCell ref="B192:F192"/>
    <mergeCell ref="B193:F193"/>
    <mergeCell ref="B194:F194"/>
    <mergeCell ref="B188:F188"/>
    <mergeCell ref="B189:F189"/>
    <mergeCell ref="B191:F191"/>
    <mergeCell ref="B187:F187"/>
  </mergeCells>
  <conditionalFormatting sqref="B8:F12 B14:F43">
    <cfRule type="expression" dxfId="23" priority="34" stopIfTrue="1">
      <formula>$B8=1</formula>
    </cfRule>
    <cfRule type="expression" dxfId="22" priority="35" stopIfTrue="1">
      <formula>$B8=2</formula>
    </cfRule>
  </conditionalFormatting>
  <conditionalFormatting sqref="B77:Q77">
    <cfRule type="cellIs" dxfId="21" priority="33" operator="equal">
      <formula>"Скройте пункт 13, 13.1, 13.2, 13.3."</formula>
    </cfRule>
  </conditionalFormatting>
  <conditionalFormatting sqref="R54:R56 A53:B56 A181:R182 L176:R179 B173:B175 A175:A179 R173:R175 A180:B180 R180 A184:R186 A183:B183 R183 A58:R58 A1:R8 A14:N18 A20:N24 A26:N30 A32:N36 A38:N42 A44:R48 K13:O13 B43:R43 A52:R52 A51:B51 A50:R50 A49:B49 A57:C57 A59:B60 A61:R61 A196:R197 A187:H187 A188:G195 R187:R195 P9:R13 B19:R19 Q14:R18 B25:R25 Q20:R24 B31:R31 Q26:R30 B37:R37 Q32:R36 Q38:R42 A9:O12 A63:B63 A65:R172 D62:R62 D64:R64">
    <cfRule type="containsText" dxfId="20" priority="32" operator="containsText" text="Выпадающий список">
      <formula>NOT(ISERROR(SEARCH("Выпадающий список",A1)))</formula>
    </cfRule>
  </conditionalFormatting>
  <conditionalFormatting sqref="B60">
    <cfRule type="containsText" dxfId="19" priority="31" operator="containsText" text="Выберите порядок оплаты">
      <formula>NOT(ISERROR(SEARCH("Выберите порядок оплаты",B60)))</formula>
    </cfRule>
  </conditionalFormatting>
  <conditionalFormatting sqref="B197:Q197">
    <cfRule type="containsText" dxfId="18" priority="30" operator="containsText" text="Дату на форме">
      <formula>NOT(ISERROR(SEARCH("Дату на форме",B197)))</formula>
    </cfRule>
  </conditionalFormatting>
  <conditionalFormatting sqref="A13">
    <cfRule type="containsText" dxfId="17" priority="29" operator="containsText" text="Выпадающий список">
      <formula>NOT(ISERROR(SEARCH("Выпадающий список",A13)))</formula>
    </cfRule>
  </conditionalFormatting>
  <conditionalFormatting sqref="A19">
    <cfRule type="containsText" dxfId="16" priority="28" operator="containsText" text="Выпадающий список">
      <formula>NOT(ISERROR(SEARCH("Выпадающий список",A19)))</formula>
    </cfRule>
  </conditionalFormatting>
  <conditionalFormatting sqref="A25">
    <cfRule type="containsText" dxfId="15" priority="27" operator="containsText" text="Выпадающий список">
      <formula>NOT(ISERROR(SEARCH("Выпадающий список",A25)))</formula>
    </cfRule>
  </conditionalFormatting>
  <conditionalFormatting sqref="A31">
    <cfRule type="containsText" dxfId="14" priority="26" operator="containsText" text="Выпадающий список">
      <formula>NOT(ISERROR(SEARCH("Выпадающий список",A31)))</formula>
    </cfRule>
  </conditionalFormatting>
  <conditionalFormatting sqref="A37">
    <cfRule type="containsText" dxfId="13" priority="25" operator="containsText" text="Выпадающий список">
      <formula>NOT(ISERROR(SEARCH("Выпадающий список",A37)))</formula>
    </cfRule>
  </conditionalFormatting>
  <conditionalFormatting sqref="A43">
    <cfRule type="containsText" dxfId="12" priority="24" operator="containsText" text="Выпадающий список">
      <formula>NOT(ISERROR(SEARCH("Выпадающий список",A43)))</formula>
    </cfRule>
  </conditionalFormatting>
  <conditionalFormatting sqref="P14:P18">
    <cfRule type="containsText" dxfId="11" priority="23" operator="containsText" text="Выпадающий список">
      <formula>NOT(ISERROR(SEARCH("Выпадающий список",P14)))</formula>
    </cfRule>
  </conditionalFormatting>
  <conditionalFormatting sqref="P20:P24">
    <cfRule type="containsText" dxfId="10" priority="22" operator="containsText" text="Выпадающий список">
      <formula>NOT(ISERROR(SEARCH("Выпадающий список",P20)))</formula>
    </cfRule>
  </conditionalFormatting>
  <conditionalFormatting sqref="P26:P30">
    <cfRule type="containsText" dxfId="9" priority="21" operator="containsText" text="Выпадающий список">
      <formula>NOT(ISERROR(SEARCH("Выпадающий список",P26)))</formula>
    </cfRule>
  </conditionalFormatting>
  <conditionalFormatting sqref="P32:P36">
    <cfRule type="containsText" dxfId="8" priority="20" operator="containsText" text="Выпадающий список">
      <formula>NOT(ISERROR(SEARCH("Выпадающий список",P32)))</formula>
    </cfRule>
  </conditionalFormatting>
  <conditionalFormatting sqref="P38:P42">
    <cfRule type="containsText" dxfId="7" priority="19" operator="containsText" text="Выпадающий список">
      <formula>NOT(ISERROR(SEARCH("Выпадающий список",P38)))</formula>
    </cfRule>
  </conditionalFormatting>
  <conditionalFormatting sqref="O14:O18">
    <cfRule type="containsText" dxfId="6" priority="8" operator="containsText" text="Выпадающий список">
      <formula>NOT(ISERROR(SEARCH("Выпадающий список",O14)))</formula>
    </cfRule>
  </conditionalFormatting>
  <conditionalFormatting sqref="O38:O42">
    <cfRule type="containsText" dxfId="5" priority="3" operator="containsText" text="Выпадающий список">
      <formula>NOT(ISERROR(SEARCH("Выпадающий список",O38)))</formula>
    </cfRule>
  </conditionalFormatting>
  <conditionalFormatting sqref="O20:O24">
    <cfRule type="containsText" dxfId="4" priority="6" operator="containsText" text="Выпадающий список">
      <formula>NOT(ISERROR(SEARCH("Выпадающий список",O20)))</formula>
    </cfRule>
  </conditionalFormatting>
  <conditionalFormatting sqref="O26:O30">
    <cfRule type="containsText" dxfId="3" priority="5" operator="containsText" text="Выпадающий список">
      <formula>NOT(ISERROR(SEARCH("Выпадающий список",O26)))</formula>
    </cfRule>
  </conditionalFormatting>
  <conditionalFormatting sqref="O32:O36">
    <cfRule type="containsText" dxfId="2" priority="4" operator="containsText" text="Выпадающий список">
      <formula>NOT(ISERROR(SEARCH("Выпадающий список",O32)))</formula>
    </cfRule>
  </conditionalFormatting>
  <conditionalFormatting sqref="A62:B62">
    <cfRule type="containsText" dxfId="1" priority="2" operator="containsText" text="Выпадающий список">
      <formula>NOT(ISERROR(SEARCH("Выпадающий список",A62)))</formula>
    </cfRule>
  </conditionalFormatting>
  <conditionalFormatting sqref="A64:B64">
    <cfRule type="containsText" dxfId="0" priority="1" operator="containsText" text="Выпадающий список">
      <formula>NOT(ISERROR(SEARCH("Выпадающий список",A64)))</formula>
    </cfRule>
  </conditionalFormatting>
  <dataValidations count="7">
    <dataValidation allowBlank="1" showInputMessage="1" showErrorMessage="1" prompt="Внесите %, если МТР не облагается НДС, то &quot;Без НДС&quot;" sqref="L38:L42 L32:L36 L26:L30 L20:L24 L8:L12 L14:L18" xr:uid="{00000000-0002-0000-0200-000000000000}"/>
    <dataValidation allowBlank="1" showInputMessage="1" showErrorMessage="1" prompt="Внесите данные на вкладку &quot;Форма ввода&quot;" sqref="B49 B65 B69 C57 C50:Q50 B67 C52 B59" xr:uid="{00000000-0002-0000-0200-000001000000}"/>
    <dataValidation allowBlank="1" showInputMessage="1" showErrorMessage="1" prompt="Внесите данные на вкладку &quot;Форма ввода&quot;_x000a_" sqref="B60" xr:uid="{00000000-0002-0000-0200-000002000000}"/>
    <dataValidation allowBlank="1" showInputMessage="1" showErrorMessage="1" prompt="Введите дату" sqref="Q8:Q12 Q14:Q18 Q20:Q24 Q26:Q30 Q32:Q36 Q38:Q42" xr:uid="{00000000-0002-0000-0200-000003000000}"/>
    <dataValidation type="list" allowBlank="1" showInputMessage="1" showErrorMessage="1" sqref="P39:P42 P33:P36 P9:P12 P15:P18 P21:P24 P27:P30" xr:uid="{00000000-0002-0000-0200-000004000000}">
      <formula1>IF(OR(O9="АО «СибурТюменьГаз»",O9="ООО «БИАКСПЛЕН»",O9="АО «Сибур-Нефтехим»"),INDIRECT("Грузополучатель_" &amp; $S9),T9)</formula1>
    </dataValidation>
    <dataValidation allowBlank="1" sqref="L13 L37 L19 L25 L31 L43" xr:uid="{00000000-0002-0000-0200-000005000000}"/>
    <dataValidation type="list" allowBlank="1" showInputMessage="1" sqref="P32 P8 P14 P20 P26 P38" xr:uid="{00000000-0002-0000-0200-000006000000}">
      <formula1>IF(OR(O8="АО «СибурТюменьГаз»",O8="ООО «БИАКСПЛЕН»",O8="АО «Сибур-Нефтехим»"),INDIRECT("Грузополучатель_" &amp; $S8),T8)</formula1>
    </dataValidation>
  </dataValidations>
  <pageMargins left="0.78740157480314965" right="0.39370078740157483" top="0.55118110236220474" bottom="0.78740157480314965" header="0.39370078740157483" footer="0.51181102362204722"/>
  <pageSetup paperSize="9" scale="42" fitToHeight="0" orientation="landscape" r:id="rId1"/>
  <headerFooter alignWithMargins="0">
    <oddHeader>&amp;R&amp;"Times New Roman,обычный"&amp;12ЕУФ_ДС_04_30_12</oddHeader>
  </headerFooter>
  <customProperties>
    <customPr name="EpmWorksheetKeyString_GUID" r:id="rId2"/>
  </customPropertie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7000000}">
          <x14:formula1>
            <xm:f>Справочник!$B$2:$B$67</xm:f>
          </x14:formula1>
          <xm:sqref>P44</xm:sqref>
        </x14:dataValidation>
        <x14:dataValidation type="list" allowBlank="1" showInputMessage="1" showErrorMessage="1" xr:uid="{00000000-0002-0000-0200-000008000000}">
          <x14:formula1>
            <xm:f>Справочник!$B$2:$B$42</xm:f>
          </x14:formula1>
          <xm:sqref>O8:O12 O14:O18 O20:O24 O26:O30 O32:O36 O38:O42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tabColor rgb="FF008080"/>
  </sheetPr>
  <dimension ref="A1:N123"/>
  <sheetViews>
    <sheetView showGridLines="0" topLeftCell="A46" zoomScale="85" zoomScaleNormal="85" workbookViewId="0" xr3:uid="{51F8DEE0-4D01-5F28-A812-FC0BD7CAC4A5}">
      <selection activeCell="C71" sqref="C71"/>
    </sheetView>
  </sheetViews>
  <sheetFormatPr defaultRowHeight="12.75" outlineLevelRow="1"/>
  <cols>
    <col min="1" max="1" width="7.7109375" style="14" customWidth="1"/>
    <col min="2" max="2" width="58.7109375" style="14" customWidth="1"/>
    <col min="3" max="3" width="127.28515625" style="14" customWidth="1"/>
    <col min="4" max="4" width="15.7109375" style="14" customWidth="1"/>
    <col min="5" max="9" width="9.140625" style="14"/>
  </cols>
  <sheetData>
    <row r="1" spans="1:9" ht="25.5" customHeight="1">
      <c r="B1" s="15" t="s">
        <v>72</v>
      </c>
    </row>
    <row r="2" spans="1:9" s="3" customFormat="1" ht="25.5" customHeight="1">
      <c r="A2" s="16" t="s">
        <v>73</v>
      </c>
      <c r="B2" s="17" t="s">
        <v>74</v>
      </c>
      <c r="C2" s="17" t="s">
        <v>75</v>
      </c>
      <c r="D2" s="16"/>
      <c r="E2" s="18"/>
      <c r="F2" s="18"/>
      <c r="G2" s="18"/>
      <c r="H2" s="18"/>
      <c r="I2" s="18"/>
    </row>
    <row r="3" spans="1:9" s="3" customFormat="1" ht="18.75" customHeight="1">
      <c r="A3" s="380" t="s">
        <v>76</v>
      </c>
      <c r="B3" s="381"/>
      <c r="C3" s="381"/>
      <c r="D3" s="19"/>
      <c r="E3" s="18"/>
      <c r="F3" s="18"/>
      <c r="G3" s="18"/>
      <c r="H3" s="18"/>
      <c r="I3" s="18"/>
    </row>
    <row r="4" spans="1:9">
      <c r="A4" s="20" t="s">
        <v>77</v>
      </c>
      <c r="B4" s="20" t="s">
        <v>78</v>
      </c>
      <c r="C4" s="73"/>
      <c r="D4" s="21"/>
    </row>
    <row r="5" spans="1:9">
      <c r="A5" s="20" t="s">
        <v>77</v>
      </c>
      <c r="B5" s="20" t="s">
        <v>79</v>
      </c>
      <c r="C5" s="35"/>
      <c r="D5" s="21"/>
    </row>
    <row r="6" spans="1:9">
      <c r="A6" s="20" t="s">
        <v>77</v>
      </c>
      <c r="B6" s="20" t="s">
        <v>80</v>
      </c>
      <c r="C6" s="73"/>
      <c r="D6" s="21"/>
    </row>
    <row r="7" spans="1:9">
      <c r="A7" s="20" t="s">
        <v>77</v>
      </c>
      <c r="B7" s="20" t="s">
        <v>81</v>
      </c>
      <c r="C7" s="35"/>
      <c r="D7" s="21"/>
    </row>
    <row r="8" spans="1:9">
      <c r="A8" s="77" t="s">
        <v>77</v>
      </c>
      <c r="B8" s="77" t="s">
        <v>82</v>
      </c>
      <c r="C8" s="78"/>
      <c r="D8" s="66"/>
      <c r="E8"/>
      <c r="F8"/>
      <c r="G8"/>
      <c r="H8"/>
      <c r="I8"/>
    </row>
    <row r="9" spans="1:9">
      <c r="A9" s="77" t="s">
        <v>77</v>
      </c>
      <c r="B9" s="77" t="s">
        <v>83</v>
      </c>
      <c r="C9" s="78"/>
      <c r="D9" s="66"/>
      <c r="E9"/>
      <c r="F9"/>
      <c r="G9"/>
      <c r="H9"/>
      <c r="I9"/>
    </row>
    <row r="10" spans="1:9">
      <c r="A10" s="77" t="s">
        <v>77</v>
      </c>
      <c r="B10" s="77" t="s">
        <v>84</v>
      </c>
      <c r="C10" s="78"/>
      <c r="D10" s="66"/>
      <c r="E10"/>
      <c r="F10"/>
      <c r="G10"/>
      <c r="H10"/>
      <c r="I10"/>
    </row>
    <row r="11" spans="1:9" hidden="1">
      <c r="A11" s="20"/>
      <c r="B11" s="20"/>
      <c r="C11" s="22"/>
      <c r="D11" s="21"/>
    </row>
    <row r="12" spans="1:9">
      <c r="A12" s="20" t="s">
        <v>77</v>
      </c>
      <c r="B12" s="20" t="s">
        <v>87</v>
      </c>
      <c r="C12" s="23"/>
      <c r="D12" s="21"/>
    </row>
    <row r="13" spans="1:9">
      <c r="A13" s="20" t="s">
        <v>77</v>
      </c>
      <c r="B13" s="20" t="s">
        <v>88</v>
      </c>
      <c r="C13" s="23"/>
      <c r="D13" s="21"/>
    </row>
    <row r="14" spans="1:9">
      <c r="A14" s="20" t="s">
        <v>0</v>
      </c>
      <c r="B14" s="20" t="s">
        <v>89</v>
      </c>
      <c r="C14" s="22" t="s">
        <v>86</v>
      </c>
      <c r="D14" s="21" t="e">
        <f>VLOOKUP(C14,Справочник!W3:X9,2,)</f>
        <v>#N/A</v>
      </c>
    </row>
    <row r="15" spans="1:9" ht="25.5">
      <c r="A15" s="24" t="s">
        <v>36</v>
      </c>
      <c r="B15" s="228" t="s">
        <v>90</v>
      </c>
      <c r="C15" s="26"/>
      <c r="D15" s="21"/>
    </row>
    <row r="16" spans="1:9" ht="25.5" hidden="1">
      <c r="A16" s="24" t="s">
        <v>36</v>
      </c>
      <c r="B16" s="25" t="s">
        <v>91</v>
      </c>
      <c r="C16" s="26"/>
      <c r="D16" s="21"/>
    </row>
    <row r="17" spans="1:9" s="3" customFormat="1" ht="18.75" customHeight="1">
      <c r="A17" s="380" t="s">
        <v>92</v>
      </c>
      <c r="B17" s="381"/>
      <c r="C17" s="381"/>
      <c r="D17" s="27"/>
      <c r="E17" s="18"/>
      <c r="F17" s="18"/>
      <c r="G17" s="18"/>
      <c r="H17" s="18"/>
      <c r="I17" s="18"/>
    </row>
    <row r="18" spans="1:9" ht="27" customHeight="1">
      <c r="A18" s="28" t="s">
        <v>93</v>
      </c>
      <c r="B18" s="28" t="s">
        <v>94</v>
      </c>
      <c r="C18" s="30"/>
      <c r="D18" s="21"/>
    </row>
    <row r="19" spans="1:9" ht="15.75" customHeight="1">
      <c r="A19" s="20" t="s">
        <v>14</v>
      </c>
      <c r="B19" s="225" t="s">
        <v>15</v>
      </c>
      <c r="C19" s="34" t="s">
        <v>86</v>
      </c>
      <c r="D19" s="21"/>
    </row>
    <row r="20" spans="1:9" ht="31.7" customHeight="1">
      <c r="A20" s="31" t="s">
        <v>16</v>
      </c>
      <c r="B20" s="44" t="s">
        <v>95</v>
      </c>
      <c r="C20" s="30"/>
      <c r="D20" s="21"/>
    </row>
    <row r="21" spans="1:9" ht="39.200000000000003" customHeight="1">
      <c r="A21" s="31" t="s">
        <v>18</v>
      </c>
      <c r="B21" s="44" t="s">
        <v>96</v>
      </c>
      <c r="C21" s="26"/>
      <c r="D21" s="21"/>
    </row>
    <row r="22" spans="1:9" ht="34.5" hidden="1" customHeight="1">
      <c r="A22" s="218"/>
      <c r="B22" s="218"/>
      <c r="C22" s="219"/>
      <c r="D22" s="21"/>
    </row>
    <row r="23" spans="1:9" ht="34.5" hidden="1" customHeight="1">
      <c r="A23" s="218"/>
      <c r="B23" s="218"/>
      <c r="C23" s="219"/>
      <c r="D23" s="21"/>
    </row>
    <row r="24" spans="1:9" hidden="1">
      <c r="A24" s="220"/>
      <c r="B24" s="220"/>
      <c r="C24" s="221"/>
      <c r="D24" s="21"/>
    </row>
    <row r="25" spans="1:9" hidden="1">
      <c r="A25" s="56"/>
      <c r="B25" s="56"/>
      <c r="C25" s="222"/>
      <c r="D25" s="21"/>
    </row>
    <row r="26" spans="1:9" hidden="1">
      <c r="A26" s="56"/>
      <c r="B26" s="223"/>
      <c r="C26" s="224"/>
      <c r="D26" s="21"/>
    </row>
    <row r="27" spans="1:9" hidden="1">
      <c r="A27" s="56"/>
      <c r="B27" s="223"/>
      <c r="C27" s="224"/>
      <c r="D27" s="21"/>
    </row>
    <row r="28" spans="1:9" hidden="1">
      <c r="A28" s="56"/>
      <c r="B28" s="223"/>
      <c r="C28" s="224"/>
      <c r="D28" s="21"/>
    </row>
    <row r="29" spans="1:9" ht="30.2" customHeight="1">
      <c r="A29" s="36" t="s">
        <v>106</v>
      </c>
      <c r="B29" s="33" t="s">
        <v>107</v>
      </c>
      <c r="C29" s="37" t="s">
        <v>86</v>
      </c>
      <c r="D29" s="21"/>
    </row>
    <row r="30" spans="1:9" s="3" customFormat="1">
      <c r="A30" s="380" t="s">
        <v>108</v>
      </c>
      <c r="B30" s="381"/>
      <c r="C30" s="381"/>
      <c r="D30" s="27"/>
      <c r="E30" s="18"/>
      <c r="F30" s="18"/>
      <c r="G30" s="18"/>
      <c r="H30" s="18"/>
      <c r="I30" s="18"/>
    </row>
    <row r="31" spans="1:9">
      <c r="A31" s="38" t="s">
        <v>24</v>
      </c>
      <c r="B31" s="33" t="s">
        <v>109</v>
      </c>
      <c r="C31" s="39" t="s">
        <v>86</v>
      </c>
      <c r="D31" s="21"/>
    </row>
    <row r="32" spans="1:9" s="7" customFormat="1">
      <c r="A32" s="40" t="s">
        <v>110</v>
      </c>
      <c r="B32" s="40" t="s">
        <v>111</v>
      </c>
      <c r="C32" s="41" t="s">
        <v>86</v>
      </c>
      <c r="D32" s="42"/>
      <c r="E32" s="43"/>
      <c r="F32" s="43"/>
      <c r="G32" s="43"/>
      <c r="H32" s="43"/>
      <c r="I32" s="43"/>
    </row>
    <row r="33" spans="1:9" ht="132.75" customHeight="1">
      <c r="A33" s="33" t="s">
        <v>25</v>
      </c>
      <c r="B33" s="44" t="s">
        <v>112</v>
      </c>
      <c r="C33" s="64" t="str">
        <f ca="1">IF(C32="(Выпадающий список)","Выберите порядок оплаты",IF((C32="Предоплата")*(ISBLANK(C34)),"Укажите количество дней предоплаты",IF((C32="Постоплата")*(ISBLANK(C35)),"Укажите количество дней постоплаты",IF((OR(C32="Частичнаяпредоплата",C32="Частичнаяпредоплата_с_БГ",C32="Предоплата_c_БГ",)*(ISBLANK(C34)+ISBLANK(C35))),"Укажите количество дней частичной предоплаты/постоплаты",INDIRECT($C$32&amp;"_Многостор")))))</f>
        <v>Выберите порядок оплаты</v>
      </c>
      <c r="D33" s="21"/>
    </row>
    <row r="34" spans="1:9" ht="25.5">
      <c r="A34" s="28" t="s">
        <v>113</v>
      </c>
      <c r="B34" s="28" t="s">
        <v>114</v>
      </c>
      <c r="C34" s="45"/>
      <c r="D34" s="21"/>
    </row>
    <row r="35" spans="1:9" ht="25.5">
      <c r="A35" s="28" t="s">
        <v>115</v>
      </c>
      <c r="B35" s="28" t="s">
        <v>116</v>
      </c>
      <c r="C35" s="45"/>
      <c r="D35" s="21"/>
    </row>
    <row r="36" spans="1:9">
      <c r="A36" s="28" t="s">
        <v>117</v>
      </c>
      <c r="B36" s="28" t="s">
        <v>118</v>
      </c>
      <c r="C36" s="46"/>
      <c r="D36" s="21"/>
    </row>
    <row r="37" spans="1:9">
      <c r="A37" s="28" t="s">
        <v>119</v>
      </c>
      <c r="B37" s="28" t="s">
        <v>120</v>
      </c>
      <c r="C37" s="63">
        <f>100%-C36</f>
        <v>1</v>
      </c>
      <c r="D37" s="21"/>
    </row>
    <row r="38" spans="1:9" ht="76.7" customHeight="1">
      <c r="A38" s="380" t="s">
        <v>121</v>
      </c>
      <c r="B38" s="381"/>
      <c r="C38" s="381"/>
      <c r="D38" s="21"/>
    </row>
    <row r="39" spans="1:9" s="7" customFormat="1" outlineLevel="1">
      <c r="A39" s="40" t="s">
        <v>122</v>
      </c>
      <c r="B39" s="40" t="s">
        <v>123</v>
      </c>
      <c r="C39" s="41" t="s">
        <v>86</v>
      </c>
      <c r="D39" s="42"/>
      <c r="E39" s="43"/>
      <c r="F39" s="43"/>
      <c r="G39" s="43"/>
      <c r="H39" s="43"/>
      <c r="I39" s="43"/>
    </row>
    <row r="40" spans="1:9" ht="159.6" customHeight="1" outlineLevel="1">
      <c r="A40" s="33" t="s">
        <v>124</v>
      </c>
      <c r="B40" s="44" t="s">
        <v>125</v>
      </c>
      <c r="C40" s="39"/>
      <c r="D40" s="21"/>
    </row>
    <row r="41" spans="1:9" ht="25.5" outlineLevel="1">
      <c r="A41" s="28" t="s">
        <v>126</v>
      </c>
      <c r="B41" s="28" t="s">
        <v>114</v>
      </c>
      <c r="C41" s="45"/>
      <c r="D41" s="21"/>
    </row>
    <row r="42" spans="1:9" ht="25.5" outlineLevel="1">
      <c r="A42" s="28" t="s">
        <v>127</v>
      </c>
      <c r="B42" s="28" t="s">
        <v>116</v>
      </c>
      <c r="C42" s="45"/>
      <c r="D42" s="21"/>
    </row>
    <row r="43" spans="1:9" outlineLevel="1">
      <c r="A43" s="28" t="s">
        <v>128</v>
      </c>
      <c r="B43" s="28" t="s">
        <v>129</v>
      </c>
      <c r="C43" s="47"/>
      <c r="D43" s="21"/>
    </row>
    <row r="44" spans="1:9" ht="25.5" outlineLevel="1">
      <c r="A44" s="28" t="s">
        <v>130</v>
      </c>
      <c r="B44" s="28" t="s">
        <v>131</v>
      </c>
      <c r="C44" s="47"/>
      <c r="D44" s="21"/>
    </row>
    <row r="45" spans="1:9" outlineLevel="1">
      <c r="A45" s="28" t="s">
        <v>132</v>
      </c>
      <c r="B45" s="28" t="s">
        <v>118</v>
      </c>
      <c r="C45" s="46"/>
      <c r="D45" s="21"/>
    </row>
    <row r="46" spans="1:9" outlineLevel="1">
      <c r="A46" s="28" t="s">
        <v>133</v>
      </c>
      <c r="B46" s="28" t="s">
        <v>120</v>
      </c>
      <c r="C46" s="63">
        <f>100%-C45</f>
        <v>1</v>
      </c>
      <c r="D46" s="21"/>
    </row>
    <row r="47" spans="1:9" s="3" customFormat="1" ht="18.75" customHeight="1">
      <c r="A47" s="380" t="s">
        <v>134</v>
      </c>
      <c r="B47" s="381"/>
      <c r="C47" s="381"/>
      <c r="D47" s="27"/>
      <c r="E47" s="18"/>
      <c r="F47" s="18"/>
      <c r="G47" s="18"/>
      <c r="H47" s="18"/>
      <c r="I47" s="18"/>
    </row>
    <row r="48" spans="1:9">
      <c r="A48" s="33" t="s">
        <v>26</v>
      </c>
      <c r="B48" s="33" t="s">
        <v>135</v>
      </c>
      <c r="C48" s="30"/>
      <c r="D48" s="21"/>
    </row>
    <row r="49" spans="1:9">
      <c r="A49" s="33"/>
      <c r="B49" s="323" t="s">
        <v>136</v>
      </c>
      <c r="C49" s="30"/>
      <c r="D49" s="324" t="s">
        <v>137</v>
      </c>
    </row>
    <row r="50" spans="1:9" ht="25.5">
      <c r="A50" s="325" t="s">
        <v>138</v>
      </c>
      <c r="B50" s="28" t="s">
        <v>139</v>
      </c>
      <c r="C50" s="30" t="s">
        <v>140</v>
      </c>
      <c r="D50" s="21"/>
    </row>
    <row r="51" spans="1:9" ht="25.5">
      <c r="A51" s="325" t="s">
        <v>141</v>
      </c>
      <c r="B51" s="28" t="s">
        <v>142</v>
      </c>
      <c r="C51" s="30" t="s">
        <v>143</v>
      </c>
      <c r="D51" s="21"/>
    </row>
    <row r="52" spans="1:9" ht="25.5">
      <c r="A52" s="325" t="s">
        <v>144</v>
      </c>
      <c r="B52" s="28" t="s">
        <v>145</v>
      </c>
      <c r="C52" s="30" t="s">
        <v>146</v>
      </c>
      <c r="D52" s="21"/>
    </row>
    <row r="53" spans="1:9" ht="25.5">
      <c r="A53" s="325" t="s">
        <v>147</v>
      </c>
      <c r="B53" s="28" t="s">
        <v>148</v>
      </c>
      <c r="C53" s="30"/>
      <c r="D53" s="21"/>
    </row>
    <row r="54" spans="1:9" ht="25.5">
      <c r="A54" s="325" t="s">
        <v>149</v>
      </c>
      <c r="B54" s="28" t="s">
        <v>150</v>
      </c>
      <c r="C54" s="30"/>
      <c r="D54" s="21"/>
    </row>
    <row r="55" spans="1:9">
      <c r="A55" s="325"/>
      <c r="B55" s="323" t="s">
        <v>151</v>
      </c>
      <c r="C55" s="30"/>
      <c r="D55" s="324" t="s">
        <v>137</v>
      </c>
    </row>
    <row r="56" spans="1:9" ht="25.5">
      <c r="A56" s="325" t="s">
        <v>152</v>
      </c>
      <c r="B56" s="28" t="s">
        <v>139</v>
      </c>
      <c r="C56" s="30" t="s">
        <v>153</v>
      </c>
      <c r="D56" s="21"/>
    </row>
    <row r="57" spans="1:9" ht="25.5">
      <c r="A57" s="325" t="s">
        <v>154</v>
      </c>
      <c r="B57" s="28" t="s">
        <v>142</v>
      </c>
      <c r="C57" s="30"/>
      <c r="D57" s="21"/>
    </row>
    <row r="58" spans="1:9" ht="25.5">
      <c r="A58" s="325" t="s">
        <v>155</v>
      </c>
      <c r="B58" s="28" t="s">
        <v>145</v>
      </c>
      <c r="C58" s="45"/>
      <c r="D58" s="21"/>
    </row>
    <row r="59" spans="1:9" ht="25.5">
      <c r="A59" s="325" t="s">
        <v>156</v>
      </c>
      <c r="B59" s="28" t="s">
        <v>148</v>
      </c>
      <c r="C59" s="30"/>
      <c r="D59" s="21"/>
    </row>
    <row r="60" spans="1:9" ht="25.5">
      <c r="A60" s="325" t="s">
        <v>157</v>
      </c>
      <c r="B60" s="28" t="s">
        <v>150</v>
      </c>
      <c r="C60" s="30"/>
      <c r="D60" s="21"/>
    </row>
    <row r="61" spans="1:9" s="3" customFormat="1" ht="18.75" customHeight="1">
      <c r="A61" s="380" t="s">
        <v>158</v>
      </c>
      <c r="B61" s="381"/>
      <c r="C61" s="381"/>
      <c r="D61" s="27"/>
      <c r="E61" s="18"/>
      <c r="F61" s="18"/>
      <c r="G61" s="18"/>
      <c r="H61" s="18"/>
      <c r="I61" s="18"/>
    </row>
    <row r="62" spans="1:9" ht="25.5">
      <c r="A62" s="48" t="s">
        <v>159</v>
      </c>
      <c r="B62" s="28" t="s">
        <v>160</v>
      </c>
      <c r="C62" s="34" t="s">
        <v>86</v>
      </c>
      <c r="D62" s="21"/>
    </row>
    <row r="63" spans="1:9" ht="25.5">
      <c r="A63" s="48" t="s">
        <v>161</v>
      </c>
      <c r="B63" s="28" t="s">
        <v>162</v>
      </c>
      <c r="C63" s="34" t="s">
        <v>86</v>
      </c>
      <c r="D63" s="21"/>
    </row>
    <row r="64" spans="1:9" ht="25.5">
      <c r="A64" s="49" t="s">
        <v>32</v>
      </c>
      <c r="B64" s="33" t="s">
        <v>163</v>
      </c>
      <c r="C64" s="39" t="s">
        <v>86</v>
      </c>
      <c r="D64" s="21"/>
    </row>
    <row r="65" spans="1:14">
      <c r="A65" s="380" t="s">
        <v>164</v>
      </c>
      <c r="B65" s="381"/>
      <c r="C65" s="381"/>
      <c r="D65" s="21"/>
    </row>
    <row r="66" spans="1:14" ht="51.75" customHeight="1">
      <c r="A66" s="50" t="s">
        <v>40</v>
      </c>
      <c r="B66" s="33" t="s">
        <v>165</v>
      </c>
      <c r="C66" s="83" t="str">
        <f>CONCATENATE("При отказе от принятия Товара Покупатель направляет Поставщику уведомление по электронной почте, не позднее ", 'Форма ввода Многосторонний'!$C$67," ", IFERROR(VLOOKUP('Форма ввода Многосторонний'!$C$67,Справочник!$AI$2:$AJ$100,2,0),"")," рабочих дней с момента истечения срока поставки Товара, указанного в данном Дополнительном соглашении. При этом Поставщик:")</f>
        <v>При отказе от принятия Товара Покупатель направляет Поставщику уведомление по электронной почте, не позднее 3 (Трех) рабочих дней с момента истечения срока поставки Товара, указанного в данном Дополнительном соглашении. При этом Поставщик:</v>
      </c>
      <c r="D66" s="21"/>
    </row>
    <row r="67" spans="1:14">
      <c r="A67" s="50"/>
      <c r="B67" s="33" t="s">
        <v>166</v>
      </c>
      <c r="C67" s="82">
        <v>3</v>
      </c>
      <c r="D67" s="21"/>
    </row>
    <row r="68" spans="1:14" ht="72.75" customHeight="1">
      <c r="A68" s="91" t="s">
        <v>41</v>
      </c>
      <c r="B68" s="33" t="s">
        <v>167</v>
      </c>
      <c r="C68" s="83" t="str">
        <f>CONCATENATE("обязан в течение ", 'Форма ввода Многосторонний'!$C$69," ", IFERROR(VLOOKUP('Форма ввода Многосторонний'!$C$69,Справочник!$AI$2:$AJ$100,2,0),""),"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f>
        <v>обязан в течение 2 (Двух) календарных дней с момента направления Покупателем уведомления вывезти Товар или иным образом распорядиться Товаром. Если Поставщик в указанный срок не распорядился Товаром, Покупатель вправе реализовать Товар по любой цене. Денежные средства, полученные от реализации Товара, Покупатель передает Поставщику за вычетом всех расходов, понесенных Покупателем в связи с хранением, реализацией Товара, а также в связи с простоем железнодорожного или автомобильного транспорта, арендой путей;</v>
      </c>
      <c r="D68" s="21"/>
    </row>
    <row r="69" spans="1:14" ht="25.5">
      <c r="A69" s="50" t="s">
        <v>168</v>
      </c>
      <c r="B69" s="33" t="s">
        <v>169</v>
      </c>
      <c r="C69" s="82">
        <v>2</v>
      </c>
      <c r="D69" s="21"/>
    </row>
    <row r="70" spans="1:14" s="3" customFormat="1" ht="18.75" customHeight="1">
      <c r="A70" s="380" t="s">
        <v>170</v>
      </c>
      <c r="B70" s="381"/>
      <c r="C70" s="381"/>
      <c r="D70" s="27"/>
      <c r="E70" s="18"/>
      <c r="F70" s="18"/>
      <c r="G70" s="18"/>
      <c r="H70" s="18"/>
      <c r="I70" s="18"/>
    </row>
    <row r="71" spans="1:14" ht="38.25">
      <c r="A71" s="50" t="s">
        <v>44</v>
      </c>
      <c r="B71" s="33" t="s">
        <v>171</v>
      </c>
      <c r="C71" s="83" t="s">
        <v>172</v>
      </c>
      <c r="D71" s="21"/>
    </row>
    <row r="72" spans="1:14" ht="25.5">
      <c r="A72" s="50" t="s">
        <v>45</v>
      </c>
      <c r="B72" s="33" t="s">
        <v>173</v>
      </c>
      <c r="C72" s="163"/>
      <c r="D72" s="21"/>
    </row>
    <row r="73" spans="1:14" ht="25.5">
      <c r="A73" s="50" t="s">
        <v>47</v>
      </c>
      <c r="B73" s="33" t="s">
        <v>174</v>
      </c>
      <c r="C73" s="163"/>
      <c r="D73" s="51"/>
    </row>
    <row r="74" spans="1:14" s="3" customFormat="1" ht="70.5" customHeight="1">
      <c r="A74" s="380" t="s">
        <v>175</v>
      </c>
      <c r="B74" s="381" t="s">
        <v>176</v>
      </c>
      <c r="C74" s="382"/>
      <c r="D74" s="52" t="s">
        <v>177</v>
      </c>
      <c r="E74" s="18"/>
      <c r="F74" s="18"/>
      <c r="G74" s="18"/>
      <c r="H74" s="18"/>
      <c r="I74" s="18"/>
    </row>
    <row r="75" spans="1:14" ht="21.75" customHeight="1">
      <c r="A75" s="74" t="s">
        <v>178</v>
      </c>
      <c r="B75" s="32" t="s">
        <v>179</v>
      </c>
      <c r="C75" s="72"/>
      <c r="D75" s="54" t="s">
        <v>137</v>
      </c>
    </row>
    <row r="76" spans="1:14" ht="45" customHeight="1">
      <c r="A76" s="74" t="s">
        <v>180</v>
      </c>
      <c r="B76" s="32" t="s">
        <v>181</v>
      </c>
      <c r="C76" s="72"/>
      <c r="D76" s="54" t="s">
        <v>137</v>
      </c>
    </row>
    <row r="77" spans="1:14" ht="32.25" customHeight="1">
      <c r="A77" s="74" t="s">
        <v>182</v>
      </c>
      <c r="B77" s="32" t="s">
        <v>183</v>
      </c>
      <c r="C77" s="53" t="s">
        <v>184</v>
      </c>
      <c r="D77" s="54"/>
      <c r="E77" s="9"/>
      <c r="F77" s="9"/>
      <c r="G77" s="9"/>
      <c r="H77" s="9"/>
      <c r="I77" s="9"/>
      <c r="J77" s="9"/>
      <c r="K77" s="9"/>
      <c r="L77" s="9"/>
      <c r="M77" s="9"/>
      <c r="N77" s="9"/>
    </row>
    <row r="78" spans="1:14" ht="138.19999999999999" customHeight="1">
      <c r="A78" s="74" t="s">
        <v>185</v>
      </c>
      <c r="B78" s="70" t="s">
        <v>186</v>
      </c>
      <c r="C78" s="64" t="s">
        <v>187</v>
      </c>
      <c r="D78" s="54"/>
    </row>
    <row r="79" spans="1:14" ht="62.45" customHeight="1">
      <c r="A79" s="74" t="s">
        <v>188</v>
      </c>
      <c r="B79" s="32" t="s">
        <v>189</v>
      </c>
      <c r="C79" s="53" t="str">
        <f>CONCATENATE("При исполнении настоящего дополнительного соглашения допускается отклонение от согласованного Сторонами количества Товара (толеранс) в пределах +/-",TEXT($C$80,"0%"), "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 'Форма ввода Многосторонний'!$C$35," ", IFERROR(VLOOKUP('Форма ввода Многосторонний'!$C$35,Справочник!AI2:AJ100,2,0),"")," дней с даты поставки Товара.")</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дней с даты поставки Товара.</v>
      </c>
      <c r="D79" s="54"/>
    </row>
    <row r="80" spans="1:14" ht="18.75">
      <c r="A80" s="55" t="s">
        <v>190</v>
      </c>
      <c r="B80" s="56" t="s">
        <v>191</v>
      </c>
      <c r="C80" s="57"/>
      <c r="D80" s="76"/>
      <c r="E80" s="9"/>
      <c r="F80" s="9"/>
      <c r="G80" s="9"/>
      <c r="H80" s="9"/>
      <c r="I80" s="9"/>
      <c r="J80" s="9"/>
      <c r="K80" s="9"/>
      <c r="L80" s="9"/>
      <c r="M80" s="9"/>
      <c r="N80" s="9"/>
    </row>
    <row r="81" spans="1:9" ht="209.25" customHeight="1">
      <c r="A81" s="74" t="s">
        <v>192</v>
      </c>
      <c r="B81" s="58" t="s">
        <v>193</v>
      </c>
      <c r="C81" s="53" t="str">
        <f>CONCATENATE("При исполнении настоящего дополнительного соглашения по каждой позиции Товара допускается отклонение от согласованного Сторонами количества Товара (толеранс), размер которого определяется в соответствии с настоящим пунктом."," При наличии расхождений по количеству Товара в пределах толеранса Сторонами производится доплата или возврат денежных средств не позднее ", 'Форма ввода Многосторонний'!$C$35," ", IFERROR(VLOOKUP('Форма ввода Многосторонний'!$C$35,Справочник!AI2:AJ100,2,0),"")," дней с даты поставки Товара",". 
Допускается толеранс по количеству (массе) Товара +/-10% при наличии совокупности следующих условий: ","
1) отклонение фактических значений толщины стенки и наружного диаметра Товара от характеристик, указанных в спецификации, соответствуют допустимым отклонениям, установленными ГОСТ;","
2) длина Товара равна или больше (в пределах 10%) значения, определяемого по формуле:
L= M /m, 
Где «L» – длина Товара, м; «M» – количество (масса)"," Товара, указанное в п. 1 Дополнительного соглашения, кг; «m»– масса 1 метра Товара, кг (определяется ГОСТ). ","
При этом отклонение фактической длины Товара в пределах +10% от рассчитанной по формуле длины ограничивается одним целым изделием наименьшей длины, без учета которого общая длина Товара по каждой позиции, предусмотренной"," п.1. Дополнительного соглашения, будет меньше длины, рассчитанной исходя из формулы, указанной в настоящем пункте выше.")</f>
        <v>При исполнении настоящего дополнительного соглашения по каждой позиции Товара допускается отклонение от согласованного Сторонами количества Товара (толеранс), размер которого определяется в соответствии с настоящим пунктом. При наличии расхождений по количеству Товара в пределах толеранса Сторонами производится доплата или возврат денежных средств не позднее   дней с даты поставки Товара. 
Допускается толеранс по количеству (массе) Товара +/-10% при наличии совокупности следующих условий: 
1) отклонение фактических значений толщины стенки и наружного диаметра Товара от характеристик, указанных в спецификации, соответствуют допустимым отклонениям, установленными ГОСТ;
2) длина Товара равна или больше (в пределах 10%) значения, определяемого по формуле:
L= M /m, 
Где «L» – длина Товара, м; «M» – количество (масса) Товара, указанное в п. 1 Дополнительного соглашения, кг; «m»– масса 1 метра Товара, кг (определяется ГОСТ). 
При этом отклонение фактической длины Товара в пределах +10% от рассчитанной по формуле длины ограничивается одним целым изделием наименьшей длины, без учета которого общая длина Товара по каждой позиции, предусмотренной п.1. Дополнительного соглашения, будет меньше длины, рассчитанной исходя из формулы, указанной в настоящем пункте выше.</v>
      </c>
      <c r="D81" s="54"/>
      <c r="E81" s="90"/>
    </row>
    <row r="82" spans="1:9" ht="129.75" customHeight="1">
      <c r="A82" s="74" t="s">
        <v>194</v>
      </c>
      <c r="B82" s="32" t="s">
        <v>195</v>
      </c>
      <c r="C82" s="53" t="str">
        <f>CONCATENATE("В соответствии со ст. 429.3 ГК РФ Покупатель вправе в срок до ",TEXT(DAY(C83),"00")&amp;" "&amp;VLOOKUP(MONTH(C83),Справочник!$D$2:$E$13,2,0)&amp;" "&amp;YEAR(C83)&amp;" года"," потребовать от Поставщика поставить дополнительный объем Товара, указанного в п. 1 настоящего дополнительного соглашения, в пределах ",TEXT($C$84,"0%"), " от количества, согласованного в настоящем дополнительном соглашении по каждой позиции.",
" Требование Покупателя о поставке дополнительного объема Товара будет считаться заявленным в пределах указанного в настоящем пункте срока,", "если требование о поставке Товара будет отправлено Покупателем в адрес Поставщика до истечения предусмотренного настоящим пунктом срока.",
"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 В случае предъявления Покупателем требования, предусмотренного настоящим пунктом, Поставщик обязан в течение ",C85,
" календарных дней с даты направления Покупателем этого требования поставить Покупателю указанное в требовании Покупателя количество Товара по цене,",
"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D82" s="54"/>
      <c r="E82" s="54" t="s">
        <v>137</v>
      </c>
    </row>
    <row r="83" spans="1:9">
      <c r="A83" s="75" t="s">
        <v>196</v>
      </c>
      <c r="B83" s="56" t="s">
        <v>197</v>
      </c>
      <c r="C83" s="59"/>
      <c r="D83" s="54"/>
      <c r="E83" s="54" t="s">
        <v>137</v>
      </c>
    </row>
    <row r="84" spans="1:9" ht="25.5">
      <c r="A84" s="75" t="s">
        <v>198</v>
      </c>
      <c r="B84" s="56" t="s">
        <v>199</v>
      </c>
      <c r="C84" s="57"/>
      <c r="D84" s="54"/>
      <c r="E84" s="54" t="s">
        <v>137</v>
      </c>
    </row>
    <row r="85" spans="1:9" ht="24" customHeight="1">
      <c r="A85" s="75" t="s">
        <v>200</v>
      </c>
      <c r="B85" s="56" t="s">
        <v>201</v>
      </c>
      <c r="C85" s="30"/>
      <c r="D85" s="54"/>
      <c r="E85" s="54" t="s">
        <v>137</v>
      </c>
    </row>
    <row r="86" spans="1:9" ht="33.75" hidden="1" customHeight="1">
      <c r="A86" s="74"/>
      <c r="B86" s="32"/>
      <c r="C86" s="64"/>
      <c r="D86" s="54"/>
      <c r="E86" s="54" t="s">
        <v>137</v>
      </c>
    </row>
    <row r="87" spans="1:9" ht="76.5">
      <c r="A87" s="74" t="s">
        <v>202</v>
      </c>
      <c r="B87" s="32" t="s">
        <v>203</v>
      </c>
      <c r="C87" s="64" t="s">
        <v>204</v>
      </c>
      <c r="D87" s="54"/>
      <c r="E87" s="54" t="s">
        <v>137</v>
      </c>
    </row>
    <row r="88" spans="1:9" ht="121.7" hidden="1" customHeight="1">
      <c r="A88" s="74" t="s">
        <v>205</v>
      </c>
      <c r="B88" s="56" t="s">
        <v>206</v>
      </c>
      <c r="C88" s="64" t="str">
        <f>CONCATENATE("Товар, поставляемый по настоящему Дополнительному соглашению, подлежит входному контролю со стороны Покупателя согласно локально-нормативным актам Покупателя. ","Покупатель самостоятельно осуществляет входной контроль поставленного Товара в течение ",C89," календарных дней с момента поступления Товара на склад Покупателя. ","При этом проверяемый товар помещается Покупателем на ответственное хранение до момента окончания проведения входного контроля. ","Если по результатам входного контроля несоответствий Покупателем не выявлено, что подтверждается составленным Актом о результатах входного контроля, то Покупатель подписывает Товарную накладную (ТОРГ-12)."," Датой поставки в данном случае является дата подписания Покупателем Товарной накладной без замечаний."," С этого момента обязанность Поставщика передать товар Покупателю считается исполненной, и к Покупателю переходят право собственности на товар, а также риск его случайной гибели или случайного повреждения."," Если по итогам входного контроля выявлены несоответствия, то Покупатель действует в соответствии с условиями Договора.")</f>
        <v>Товар, поставляемый по настоящему Дополнительному соглашению, подлежит входному контролю со стороны Покупателя согласно локально-нормативным актам Покупателя. Покупатель самостоятельно осуществляет входной контроль поставленного Товара в течение  календарных дней с момента поступления Товара на склад Покупателя. При этом проверяемый товар помещается Покупателем на ответственное хранение до момента окончания проведения входного контроля. Если по результатам входного контроля несоответствий Покупателем не выявлено, что подтверждается составленным Актом о результатах входного контроля, то Покупатель подписывает Товарную накладную (ТОРГ-12). Датой поставки в данном случае является дата подписания Покупателем Товарной накладной без замечаний. С этого момента обязанность Поставщика передать товар Покупателю считается исполненной, и к Покупателю переходят право собственности на товар, а также риск его случайной гибели или случайного повреждения. Если по итогам входного контроля выявлены несоответствия, то Покупатель действует в соответствии с условиями Договора.</v>
      </c>
      <c r="D88" s="54"/>
      <c r="E88" s="54" t="s">
        <v>137</v>
      </c>
    </row>
    <row r="89" spans="1:9" hidden="1">
      <c r="A89" s="74" t="s">
        <v>207</v>
      </c>
      <c r="B89" s="56" t="s">
        <v>208</v>
      </c>
      <c r="C89" s="30"/>
      <c r="D89" s="54"/>
      <c r="E89" s="54" t="s">
        <v>137</v>
      </c>
    </row>
    <row r="90" spans="1:9" ht="51">
      <c r="A90" s="74" t="s">
        <v>209</v>
      </c>
      <c r="B90" s="70" t="s">
        <v>210</v>
      </c>
      <c r="C90" s="64" t="s">
        <v>211</v>
      </c>
      <c r="D90" s="54"/>
      <c r="E90" s="54" t="s">
        <v>137</v>
      </c>
    </row>
    <row r="91" spans="1:9">
      <c r="A91" s="74" t="s">
        <v>212</v>
      </c>
      <c r="B91" s="70" t="s">
        <v>213</v>
      </c>
      <c r="C91" s="64" t="s">
        <v>214</v>
      </c>
      <c r="D91" s="54"/>
      <c r="E91" s="54" t="s">
        <v>137</v>
      </c>
    </row>
    <row r="92" spans="1:9" ht="63.75">
      <c r="A92" s="74" t="s">
        <v>215</v>
      </c>
      <c r="B92" s="70" t="s">
        <v>216</v>
      </c>
      <c r="C92" s="64" t="s">
        <v>217</v>
      </c>
      <c r="D92" s="54"/>
      <c r="E92" s="54" t="s">
        <v>137</v>
      </c>
    </row>
    <row r="93" spans="1:9">
      <c r="A93" s="74" t="s">
        <v>218</v>
      </c>
      <c r="B93" s="70" t="s">
        <v>216</v>
      </c>
      <c r="C93" s="64" t="s">
        <v>219</v>
      </c>
      <c r="D93" s="54"/>
      <c r="E93" s="54" t="s">
        <v>137</v>
      </c>
    </row>
    <row r="94" spans="1:9" ht="25.5">
      <c r="A94" s="74" t="s">
        <v>220</v>
      </c>
      <c r="B94" s="70" t="s">
        <v>221</v>
      </c>
      <c r="C94" s="87" t="s">
        <v>222</v>
      </c>
      <c r="D94" s="54"/>
      <c r="E94" s="54" t="s">
        <v>137</v>
      </c>
    </row>
    <row r="95" spans="1:9" s="3" customFormat="1" ht="18.75" customHeight="1">
      <c r="A95" s="379" t="s">
        <v>223</v>
      </c>
      <c r="B95" s="383"/>
      <c r="C95" s="383"/>
      <c r="D95" s="79"/>
    </row>
    <row r="96" spans="1:9" ht="17.45" customHeight="1">
      <c r="A96" s="80" t="s">
        <v>224</v>
      </c>
      <c r="B96" s="81" t="s">
        <v>225</v>
      </c>
      <c r="C96" s="83" t="s">
        <v>226</v>
      </c>
      <c r="D96" s="67"/>
      <c r="E96"/>
      <c r="F96"/>
      <c r="G96"/>
      <c r="H96"/>
      <c r="I96"/>
    </row>
    <row r="97" spans="1:9" ht="82.5" customHeight="1">
      <c r="A97" s="281" t="s">
        <v>224</v>
      </c>
      <c r="B97" s="282" t="s">
        <v>227</v>
      </c>
      <c r="C97" s="283" t="s">
        <v>228</v>
      </c>
      <c r="D97" s="67"/>
      <c r="E97"/>
      <c r="F97"/>
      <c r="G97"/>
      <c r="H97"/>
      <c r="I97"/>
    </row>
    <row r="98" spans="1:9" s="3" customFormat="1" ht="18.75" hidden="1" customHeight="1">
      <c r="A98" s="274"/>
      <c r="B98" s="274"/>
      <c r="C98" s="274"/>
      <c r="D98" s="272"/>
      <c r="E98" s="18"/>
      <c r="F98" s="18"/>
      <c r="G98" s="18"/>
      <c r="H98" s="18"/>
      <c r="I98" s="18"/>
    </row>
    <row r="99" spans="1:9" ht="58.7" hidden="1" customHeight="1">
      <c r="A99" s="284"/>
      <c r="B99" s="277"/>
      <c r="C99" s="277"/>
      <c r="D99" s="273"/>
      <c r="E99"/>
      <c r="F99"/>
      <c r="G99"/>
      <c r="H99"/>
      <c r="I99"/>
    </row>
    <row r="100" spans="1:9" ht="20.25" hidden="1" customHeight="1">
      <c r="A100" s="285"/>
      <c r="B100" s="279"/>
      <c r="C100" s="280"/>
      <c r="D100" s="273"/>
      <c r="E100"/>
      <c r="F100"/>
      <c r="G100"/>
      <c r="H100"/>
      <c r="I100"/>
    </row>
    <row r="101" spans="1:9" s="3" customFormat="1" ht="18.75" customHeight="1">
      <c r="A101" s="392" t="s">
        <v>229</v>
      </c>
      <c r="B101" s="393"/>
      <c r="C101" s="393"/>
      <c r="D101" s="27"/>
      <c r="E101" s="18"/>
      <c r="F101" s="18"/>
      <c r="G101" s="18"/>
      <c r="H101" s="18"/>
      <c r="I101" s="18"/>
    </row>
    <row r="102" spans="1:9">
      <c r="A102" s="84" t="s">
        <v>230</v>
      </c>
      <c r="B102" s="65" t="s">
        <v>231</v>
      </c>
      <c r="C102" s="68"/>
      <c r="D102" s="66"/>
      <c r="E102"/>
      <c r="F102"/>
      <c r="G102"/>
      <c r="H102"/>
      <c r="I102"/>
    </row>
    <row r="103" spans="1:9">
      <c r="A103" s="84" t="s">
        <v>232</v>
      </c>
      <c r="B103" s="65" t="s">
        <v>233</v>
      </c>
      <c r="C103" s="68"/>
      <c r="D103" s="66"/>
      <c r="E103"/>
      <c r="F103"/>
      <c r="G103"/>
      <c r="H103"/>
      <c r="I103"/>
    </row>
    <row r="104" spans="1:9">
      <c r="A104" s="84" t="s">
        <v>234</v>
      </c>
      <c r="B104" s="65" t="s">
        <v>235</v>
      </c>
      <c r="C104" s="68"/>
      <c r="D104" s="66"/>
      <c r="E104"/>
      <c r="F104"/>
      <c r="G104"/>
      <c r="H104"/>
      <c r="I104"/>
    </row>
    <row r="105" spans="1:9">
      <c r="A105" s="84" t="s">
        <v>236</v>
      </c>
      <c r="B105" s="65" t="s">
        <v>237</v>
      </c>
      <c r="C105" s="68"/>
      <c r="D105" s="66"/>
      <c r="E105"/>
      <c r="F105"/>
      <c r="G105"/>
      <c r="H105"/>
      <c r="I105"/>
    </row>
    <row r="106" spans="1:9">
      <c r="A106" s="84" t="s">
        <v>238</v>
      </c>
      <c r="B106" s="65" t="s">
        <v>239</v>
      </c>
      <c r="C106" s="68"/>
      <c r="D106" s="66"/>
      <c r="E106"/>
      <c r="F106"/>
      <c r="G106"/>
      <c r="H106"/>
      <c r="I106"/>
    </row>
    <row r="107" spans="1:9">
      <c r="A107" s="84" t="s">
        <v>240</v>
      </c>
      <c r="B107" s="65" t="s">
        <v>241</v>
      </c>
      <c r="C107" s="68"/>
      <c r="D107" s="66"/>
      <c r="E107"/>
      <c r="F107"/>
      <c r="G107"/>
      <c r="H107"/>
      <c r="I107"/>
    </row>
    <row r="108" spans="1:9">
      <c r="A108" s="84" t="s">
        <v>242</v>
      </c>
      <c r="B108" s="318" t="s">
        <v>243</v>
      </c>
      <c r="C108" s="68"/>
      <c r="D108" s="66"/>
      <c r="E108"/>
      <c r="F108"/>
      <c r="G108"/>
      <c r="H108"/>
      <c r="I108"/>
    </row>
    <row r="109" spans="1:9">
      <c r="A109" s="84" t="s">
        <v>244</v>
      </c>
      <c r="B109" s="60" t="s">
        <v>245</v>
      </c>
      <c r="C109" s="69"/>
      <c r="D109" s="27"/>
    </row>
    <row r="110" spans="1:9">
      <c r="A110" s="85" t="s">
        <v>246</v>
      </c>
      <c r="B110" s="61" t="s">
        <v>247</v>
      </c>
      <c r="C110" s="86" t="s">
        <v>86</v>
      </c>
      <c r="D110" s="27"/>
    </row>
    <row r="111" spans="1:9">
      <c r="A111" s="85" t="s">
        <v>248</v>
      </c>
      <c r="B111" s="61" t="s">
        <v>249</v>
      </c>
      <c r="C111" s="72"/>
      <c r="D111" s="27"/>
    </row>
    <row r="112" spans="1:9">
      <c r="A112" s="85" t="s">
        <v>250</v>
      </c>
      <c r="B112" s="61" t="s">
        <v>251</v>
      </c>
      <c r="C112" s="47"/>
      <c r="D112" s="27"/>
    </row>
    <row r="113" spans="1:9" s="3" customFormat="1" ht="18.75" customHeight="1">
      <c r="A113" s="378" t="s">
        <v>252</v>
      </c>
      <c r="B113" s="378"/>
      <c r="C113" s="379"/>
      <c r="D113" s="67"/>
    </row>
    <row r="114" spans="1:9" ht="27" customHeight="1">
      <c r="A114" s="389" t="s">
        <v>257</v>
      </c>
      <c r="B114" s="390"/>
      <c r="C114" s="391"/>
      <c r="D114" s="66"/>
      <c r="E114"/>
      <c r="F114"/>
      <c r="G114"/>
      <c r="H114"/>
      <c r="I114"/>
    </row>
    <row r="115" spans="1:9" ht="57.75" customHeight="1">
      <c r="A115" s="84" t="s">
        <v>230</v>
      </c>
      <c r="B115" s="227" t="s">
        <v>258</v>
      </c>
      <c r="C115" s="68"/>
      <c r="D115" s="66"/>
      <c r="E115"/>
      <c r="F115"/>
      <c r="G115"/>
      <c r="H115"/>
      <c r="I115"/>
    </row>
    <row r="116" spans="1:9" hidden="1">
      <c r="A116" s="84"/>
      <c r="B116" s="65"/>
      <c r="C116" s="68"/>
      <c r="D116" s="66"/>
      <c r="E116"/>
      <c r="F116"/>
      <c r="G116"/>
      <c r="H116"/>
      <c r="I116"/>
    </row>
    <row r="117" spans="1:9" hidden="1">
      <c r="A117" s="226"/>
      <c r="B117" s="65"/>
      <c r="C117" s="68"/>
      <c r="D117" s="66"/>
      <c r="E117"/>
      <c r="F117"/>
      <c r="G117"/>
      <c r="H117"/>
      <c r="I117"/>
    </row>
    <row r="118" spans="1:9" hidden="1">
      <c r="A118" s="226"/>
      <c r="B118" s="65"/>
      <c r="C118" s="68"/>
      <c r="D118" s="66"/>
      <c r="E118"/>
      <c r="F118"/>
      <c r="G118"/>
      <c r="H118"/>
      <c r="I118"/>
    </row>
    <row r="119" spans="1:9" hidden="1">
      <c r="A119" s="226"/>
      <c r="B119" s="65"/>
      <c r="C119" s="68"/>
      <c r="D119" s="66"/>
      <c r="E119"/>
      <c r="F119"/>
      <c r="G119"/>
      <c r="H119"/>
      <c r="I119"/>
    </row>
    <row r="120" spans="1:9">
      <c r="A120" s="84" t="s">
        <v>232</v>
      </c>
      <c r="B120" s="60" t="s">
        <v>253</v>
      </c>
      <c r="C120" s="72"/>
      <c r="D120" s="27"/>
    </row>
    <row r="121" spans="1:9">
      <c r="A121" s="85" t="s">
        <v>246</v>
      </c>
      <c r="B121" s="61" t="s">
        <v>247</v>
      </c>
      <c r="C121" s="34" t="s">
        <v>259</v>
      </c>
      <c r="D121" s="27"/>
    </row>
    <row r="122" spans="1:9">
      <c r="A122" s="85" t="s">
        <v>248</v>
      </c>
      <c r="B122" s="61" t="s">
        <v>249</v>
      </c>
      <c r="C122" s="72"/>
      <c r="D122" s="27"/>
    </row>
    <row r="123" spans="1:9">
      <c r="A123" s="85" t="s">
        <v>250</v>
      </c>
      <c r="B123" s="61" t="s">
        <v>251</v>
      </c>
      <c r="C123" s="47"/>
      <c r="D123" s="62"/>
    </row>
  </sheetData>
  <mergeCells count="13">
    <mergeCell ref="A61:C61"/>
    <mergeCell ref="A3:C3"/>
    <mergeCell ref="A17:C17"/>
    <mergeCell ref="A30:C30"/>
    <mergeCell ref="A38:C38"/>
    <mergeCell ref="A47:C47"/>
    <mergeCell ref="A113:C113"/>
    <mergeCell ref="A114:C114"/>
    <mergeCell ref="A65:C65"/>
    <mergeCell ref="A70:C70"/>
    <mergeCell ref="A74:C74"/>
    <mergeCell ref="A95:C95"/>
    <mergeCell ref="A101:C101"/>
  </mergeCells>
  <dataValidations count="30">
    <dataValidation type="list" allowBlank="1" showInputMessage="1" showErrorMessage="1" sqref="C98" xr:uid="{00000000-0002-0000-0300-000000000000}">
      <formula1>$L$2:$L$4</formula1>
    </dataValidation>
    <dataValidation type="whole" operator="greaterThan" allowBlank="1" showInputMessage="1" showErrorMessage="1" sqref="C67 C69" xr:uid="{00000000-0002-0000-0300-000001000000}">
      <formula1>0</formula1>
    </dataValidation>
    <dataValidation type="custom" allowBlank="1" showInputMessage="1" showErrorMessage="1" sqref="D34" xr:uid="{00000000-0002-0000-0300-000002000000}">
      <formula1>""</formula1>
    </dataValidation>
    <dataValidation allowBlank="1" showInputMessage="1" showErrorMessage="1" prompt="Укажите адрес Поставщика для отправки оригинала ДД в п.14.2" sqref="C13" xr:uid="{00000000-0002-0000-0300-000003000000}"/>
    <dataValidation type="list" allowBlank="1" showInputMessage="1" showErrorMessage="1" prompt="Внесите процент предоплаты, если требуется" sqref="C45" xr:uid="{00000000-0002-0000-0300-000004000000}">
      <formula1>"5%,10%,20%,30%,40%,50%,60%,70%,80%,90%,100%"</formula1>
    </dataValidation>
    <dataValidation type="list" allowBlank="1" showInputMessage="1" showErrorMessage="1" sqref="C110" xr:uid="{00000000-0002-0000-0300-000005000000}">
      <formula1>"(Выпадающий список), Устава, Доверенности,ИП,Договора управления"</formula1>
    </dataValidation>
    <dataValidation type="list" allowBlank="1" showInputMessage="1" showErrorMessage="1" sqref="C96 C71" xr:uid="{00000000-0002-0000-0300-000006000000}">
      <formula1>"да,нет"</formula1>
    </dataValidation>
    <dataValidation type="whole" allowBlank="1" showInputMessage="1" showErrorMessage="1" prompt="ПОСТОПЛАТА: Введите число от 15 до 100 календарных дней" sqref="C42" xr:uid="{00000000-0002-0000-0300-000007000000}">
      <formula1>5</formula1>
      <formula2>100</formula2>
    </dataValidation>
    <dataValidation type="whole" allowBlank="1" showInputMessage="1" showErrorMessage="1" prompt="ПРЕДОПЛАТА: Введите число от 15 до 100 календарных дней" sqref="C41" xr:uid="{00000000-0002-0000-0300-000008000000}">
      <formula1>5</formula1>
      <formula2>100</formula2>
    </dataValidation>
    <dataValidation type="list" allowBlank="1" showInputMessage="1" showErrorMessage="1" sqref="C113" xr:uid="{00000000-0002-0000-0300-000009000000}">
      <formula1>$K$2:$K$6</formula1>
    </dataValidation>
    <dataValidation type="whole" allowBlank="1" showInputMessage="1" showErrorMessage="1" prompt=" Введите кол-во календарных дней" sqref="C25" xr:uid="{00000000-0002-0000-0300-00000A000000}">
      <formula1>2</formula1>
      <formula2>100</formula2>
    </dataValidation>
    <dataValidation allowBlank="1" showInputMessage="1" showErrorMessage="1" prompt="Контактные данные Цоба на вкладке Справочник столбцы T:V_x000a_" sqref="C16" xr:uid="{00000000-0002-0000-0300-00000B000000}"/>
    <dataValidation allowBlank="1" showInputMessage="1" showErrorMessage="1" prompt="Только для подшипников" sqref="C87" xr:uid="{00000000-0002-0000-0300-00000C000000}"/>
    <dataValidation allowBlank="1" showInputMessage="1" showErrorMessage="1" prompt="Только для трубы" sqref="C81" xr:uid="{00000000-0002-0000-0300-00000D000000}"/>
    <dataValidation errorStyle="information" allowBlank="1" showInputMessage="1" showErrorMessage="1" errorTitle="цу" error="Укажите количество дней предоплаты/постоплаты в соответствии с выбранным порядком оплаты" prompt="Сначала определите базовые условия олаты._x000a_Если требуется, заполните 6.2.1-6.2.4 и повторно выберите порядок оплаты_x000a_" sqref="C33" xr:uid="{00000000-0002-0000-0300-00000E000000}"/>
    <dataValidation type="whole" allowBlank="1" showInputMessage="1" showErrorMessage="1" prompt="ПРЕДОПЛАТА: Введите число от 15 до 100 календарных дней" sqref="C34" xr:uid="{00000000-0002-0000-0300-00000F000000}">
      <formula1>1</formula1>
      <formula2>100</formula2>
    </dataValidation>
    <dataValidation allowBlank="1" showInputMessage="1" showErrorMessage="1" prompt="Если сотрудник ЦОБ, то данные в справочнике столбцы U:W" sqref="B16" xr:uid="{00000000-0002-0000-0300-000010000000}"/>
    <dataValidation type="list" allowBlank="1" showInputMessage="1" showErrorMessage="1" prompt="Сначала определите базовые условия оплаты *6.2.0._x000a_Если требуется, заполните *6.2.1-*6.2.6 и повторно выберите порядок оплаты_x000a_" sqref="C40" xr:uid="{00000000-0002-0000-0300-000011000000}">
      <formula1>INDIRECT($C$39)</formula1>
    </dataValidation>
    <dataValidation type="list" allowBlank="1" showInputMessage="1" showErrorMessage="1" sqref="C121" xr:uid="{00000000-0002-0000-0300-000012000000}">
      <formula1>"(Выпадающий список), Доверенности,Альтернативное подписание"</formula1>
    </dataValidation>
    <dataValidation type="list" allowBlank="1" showInputMessage="1" showErrorMessage="1" sqref="C101" xr:uid="{00000000-0002-0000-0300-000013000000}">
      <formula1>$L$2:$L$6</formula1>
    </dataValidation>
    <dataValidation type="list" allowBlank="1" showInputMessage="1" showErrorMessage="1" prompt="Внесите процент предоплаты, если требуется" sqref="C36" xr:uid="{00000000-0002-0000-0300-000014000000}">
      <formula1>"10%,20%,30%,40%,50%,60%,70%,80%,90%,100%"</formula1>
    </dataValidation>
    <dataValidation allowBlank="1" showInputMessage="1" showErrorMessage="1" prompt="Автоматический расчет,введите % предоплаты" sqref="C37 C46" xr:uid="{00000000-0002-0000-0300-000015000000}"/>
    <dataValidation allowBlank="1" showInputMessage="1" showErrorMessage="1" prompt="Данное условие может быть применимо только при закупке товара, приобретаемого насыпью, наливом, по весу или объему" sqref="C79" xr:uid="{00000000-0002-0000-0300-000016000000}"/>
    <dataValidation type="list" allowBlank="1" showInputMessage="1" showErrorMessage="1" prompt="Заполните 7.2.0-7.2.5 и повторно выберите порядок оплаты" sqref="C47" xr:uid="{00000000-0002-0000-0300-000017000000}">
      <formula1>INDIRECT($C$32)</formula1>
    </dataValidation>
    <dataValidation type="whole" allowBlank="1" showInputMessage="1" showErrorMessage="1" prompt="ПОСТОПЛАТА: Введите число от 15 до 100 календарных дней" sqref="C35" xr:uid="{00000000-0002-0000-0300-000018000000}">
      <formula1>1</formula1>
      <formula2>100</formula2>
    </dataValidation>
    <dataValidation type="decimal" allowBlank="1" showInputMessage="1" showErrorMessage="1" errorTitle="Нарушение % по трем ценам" error="3-ая цена не может уменьшать стоимость поставки более чем на 20%." prompt="Введите процент скидки от 0 до 20, без знака %" sqref="C72:C73" xr:uid="{00000000-0002-0000-0300-000019000000}">
      <formula1>0</formula1>
      <formula2>20</formula2>
    </dataValidation>
    <dataValidation type="decimal" allowBlank="1" showInputMessage="1" showErrorMessage="1" sqref="C80 C84" xr:uid="{00000000-0002-0000-0300-00001A000000}">
      <formula1>0</formula1>
      <formula2>1</formula2>
    </dataValidation>
    <dataValidation type="date" allowBlank="1" showInputMessage="1" showErrorMessage="1" prompt="Введите дату" sqref="C83" xr:uid="{00000000-0002-0000-0300-00001B000000}">
      <formula1>36526</formula1>
      <formula2>401769</formula2>
    </dataValidation>
    <dataValidation type="whole" allowBlank="1" showInputMessage="1" showErrorMessage="1" sqref="C85 C89 C95" xr:uid="{00000000-0002-0000-0300-00001C000000}">
      <formula1>0</formula1>
      <formula2>10000</formula2>
    </dataValidation>
    <dataValidation allowBlank="1" showInputMessage="1" showErrorMessage="1" prompt="Внесите дату, к пример: 01.01.2000" sqref="C43:C44 C26:C28 C123 C112 C5 C7" xr:uid="{00000000-0002-0000-0300-00001D000000}"/>
  </dataValidations>
  <pageMargins left="0.7" right="0.7" top="0.75" bottom="0.75" header="0.3" footer="0.3"/>
  <pageSetup paperSize="9"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300-00001E000000}">
          <x14:formula1>
            <xm:f>Справочник!$R$2:$R$104</xm:f>
          </x14:formula1>
          <xm:sqref>C62:C63</xm:sqref>
        </x14:dataValidation>
        <x14:dataValidation type="list" allowBlank="1" showInputMessage="1" showErrorMessage="1" xr:uid="{00000000-0002-0000-0300-00001F000000}">
          <x14:formula1>
            <xm:f>Справочник!$I$2:$I$5</xm:f>
          </x14:formula1>
          <xm:sqref>C31</xm:sqref>
        </x14:dataValidation>
        <x14:dataValidation type="list" allowBlank="1" showInputMessage="1" showErrorMessage="1" prompt="внесите в п.8.1.-8.2. кол-во месяцев и повторно выберите гарантию" xr:uid="{00000000-0002-0000-0300-000020000000}">
          <x14:formula1>
            <xm:f>Справочник!$P$7:$P$10</xm:f>
          </x14:formula1>
          <xm:sqref>C64</xm:sqref>
        </x14:dataValidation>
        <x14:dataValidation type="list" allowBlank="1" showInputMessage="1" showErrorMessage="1" xr:uid="{00000000-0002-0000-0300-000021000000}">
          <x14:formula1>
            <xm:f>Справочник!$P$2:$P$7</xm:f>
          </x14:formula1>
          <xm:sqref>C65 C70</xm:sqref>
        </x14:dataValidation>
        <x14:dataValidation type="list" allowBlank="1" showInputMessage="1" showErrorMessage="1" xr:uid="{00000000-0002-0000-0300-000022000000}">
          <x14:formula1>
            <xm:f>Справочник!$M$2:$M$5</xm:f>
          </x14:formula1>
          <xm:sqref>C39</xm:sqref>
        </x14:dataValidation>
        <x14:dataValidation type="list" allowBlank="1" showInputMessage="1" showErrorMessage="1" xr:uid="{00000000-0002-0000-0300-000023000000}">
          <x14:formula1>
            <xm:f>Справочник!$F$2:$F$6</xm:f>
          </x14:formula1>
          <xm:sqref>C19</xm:sqref>
        </x14:dataValidation>
        <x14:dataValidation type="list" allowBlank="1" showInputMessage="1" showErrorMessage="1" xr:uid="{00000000-0002-0000-0300-000024000000}">
          <x14:formula1>
            <xm:f>Справочник!$Q$2:$Q$6</xm:f>
          </x14:formula1>
          <xm:sqref>C29</xm:sqref>
        </x14:dataValidation>
        <x14:dataValidation type="list" allowBlank="1" showInputMessage="1" showErrorMessage="1" xr:uid="{00000000-0002-0000-0300-000025000000}">
          <x14:formula1>
            <xm:f>Справочник!$K$2:$K$7</xm:f>
          </x14:formula1>
          <xm:sqref>C32</xm:sqref>
        </x14:dataValidation>
        <x14:dataValidation type="list" allowBlank="1" showInputMessage="1" showErrorMessage="1" xr:uid="{00000000-0002-0000-0300-000026000000}">
          <x14:formula1>
            <xm:f>Справочник!$W$2:$W$9</xm:f>
          </x14:formula1>
          <xm:sqref>C14</xm:sqref>
        </x14:dataValidation>
        <x14:dataValidation type="list" allowBlank="1" showInputMessage="1" showErrorMessage="1" xr:uid="{00000000-0002-0000-0300-000027000000}">
          <x14:formula1>
            <xm:f>Справочник!$A$2:$A$55</xm:f>
          </x14:formula1>
          <xm:sqref>C11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
  <dimension ref="A1:C6"/>
  <sheetViews>
    <sheetView showGridLines="0" workbookViewId="0" xr3:uid="{F9CF3CF3-643B-5BE6-8B46-32C596A47465}"/>
  </sheetViews>
  <sheetFormatPr defaultRowHeight="12.75"/>
  <cols>
    <col min="2" max="2" width="71.7109375" customWidth="1"/>
    <col min="3" max="3" width="15" customWidth="1"/>
  </cols>
  <sheetData>
    <row r="1" spans="1:3" s="13" customFormat="1" ht="29.25" customHeight="1">
      <c r="A1" s="12" t="s">
        <v>260</v>
      </c>
    </row>
    <row r="2" spans="1:3" s="3" customFormat="1" ht="25.5">
      <c r="A2" s="2" t="s">
        <v>261</v>
      </c>
      <c r="B2" s="2" t="s">
        <v>262</v>
      </c>
      <c r="C2" s="1" t="s">
        <v>263</v>
      </c>
    </row>
    <row r="3" spans="1:3" ht="30.75" customHeight="1">
      <c r="A3" s="8">
        <v>1</v>
      </c>
      <c r="B3" s="10" t="s">
        <v>264</v>
      </c>
      <c r="C3" s="11" t="s">
        <v>265</v>
      </c>
    </row>
    <row r="4" spans="1:3" ht="55.5" customHeight="1">
      <c r="A4" s="8">
        <v>2</v>
      </c>
      <c r="B4" s="10" t="s">
        <v>266</v>
      </c>
      <c r="C4" s="11" t="s">
        <v>267</v>
      </c>
    </row>
    <row r="5" spans="1:3" ht="41.25" customHeight="1">
      <c r="A5" s="8">
        <v>3</v>
      </c>
      <c r="B5" s="10" t="s">
        <v>268</v>
      </c>
      <c r="C5" s="11" t="s">
        <v>267</v>
      </c>
    </row>
    <row r="6" spans="1:3" ht="30.75" customHeight="1"/>
  </sheetData>
  <hyperlinks>
    <hyperlink ref="C3" location="'Форма ввода'!A1" display="форма" xr:uid="{00000000-0004-0000-0400-000000000000}"/>
    <hyperlink ref="C4" location="ДС!A1" display="ДС" xr:uid="{00000000-0004-0000-0400-000001000000}"/>
    <hyperlink ref="C5" location="ДС!A1" display="ДС" xr:uid="{00000000-0004-0000-0400-000002000000}"/>
  </hyperlinks>
  <pageMargins left="0.7" right="0.7" top="0.75" bottom="0.75" header="0.3" footer="0.3"/>
  <pageSetup paperSize="9" orientation="portrait" horizontalDpi="300" r:id="rId1"/>
  <customProperties>
    <customPr name="EpmWorksheetKeyString_GU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4"/>
  <dimension ref="A1:AK121"/>
  <sheetViews>
    <sheetView topLeftCell="A14" zoomScale="70" zoomScaleNormal="70" workbookViewId="0" xr3:uid="{78B4E459-6924-5F8B-B7BA-2DD04133E49E}">
      <selection activeCell="C56" sqref="C56"/>
    </sheetView>
  </sheetViews>
  <sheetFormatPr defaultRowHeight="14.25"/>
  <cols>
    <col min="1" max="1" width="26.7109375" customWidth="1"/>
    <col min="2" max="2" width="39.28515625" bestFit="1" customWidth="1"/>
    <col min="3" max="3" width="95.28515625" bestFit="1" customWidth="1"/>
    <col min="4" max="4" width="13.28515625" customWidth="1"/>
    <col min="5" max="5" width="17.85546875" bestFit="1" customWidth="1"/>
    <col min="6" max="6" width="40.28515625" style="253" customWidth="1"/>
    <col min="7" max="7" width="109.85546875" style="268" customWidth="1"/>
    <col min="8" max="9" width="40.28515625" customWidth="1"/>
    <col min="10" max="10" width="14.7109375" customWidth="1"/>
    <col min="11" max="11" width="35.7109375" customWidth="1"/>
    <col min="12" max="12" width="73.42578125" customWidth="1"/>
    <col min="13" max="13" width="22.28515625" customWidth="1"/>
    <col min="14" max="14" width="12" customWidth="1"/>
    <col min="15" max="15" width="71.140625" customWidth="1"/>
    <col min="16" max="18" width="40.28515625" customWidth="1"/>
    <col min="19" max="19" width="34.42578125" customWidth="1"/>
    <col min="20" max="20" width="34.140625" style="253" customWidth="1"/>
    <col min="21" max="21" width="25.140625" style="253" customWidth="1"/>
    <col min="22" max="22" width="20.7109375" style="253" customWidth="1"/>
    <col min="23" max="23" width="32" customWidth="1"/>
    <col min="24" max="24" width="16.28515625" customWidth="1"/>
    <col min="25" max="25" width="88.140625" bestFit="1" customWidth="1"/>
    <col min="26" max="26" width="72.7109375" customWidth="1"/>
    <col min="27" max="27" width="67.7109375" customWidth="1"/>
    <col min="35" max="35" width="12.7109375" customWidth="1"/>
    <col min="36" max="36" width="23.7109375" customWidth="1"/>
  </cols>
  <sheetData>
    <row r="1" spans="1:37" ht="25.5">
      <c r="A1" s="311" t="s">
        <v>269</v>
      </c>
      <c r="B1" s="312" t="s">
        <v>270</v>
      </c>
      <c r="C1" s="311" t="s">
        <v>271</v>
      </c>
      <c r="D1" s="311" t="s">
        <v>272</v>
      </c>
      <c r="E1" s="311" t="s">
        <v>273</v>
      </c>
      <c r="F1" s="311" t="s">
        <v>15</v>
      </c>
      <c r="G1" s="313" t="s">
        <v>12</v>
      </c>
      <c r="H1" s="311" t="s">
        <v>274</v>
      </c>
      <c r="I1" s="311" t="s">
        <v>275</v>
      </c>
      <c r="J1" s="314"/>
      <c r="K1" s="312" t="s">
        <v>276</v>
      </c>
      <c r="L1" s="311" t="s">
        <v>277</v>
      </c>
      <c r="M1" s="312" t="s">
        <v>278</v>
      </c>
      <c r="N1" s="311"/>
      <c r="O1" s="311" t="s">
        <v>279</v>
      </c>
      <c r="P1" s="311" t="s">
        <v>280</v>
      </c>
      <c r="Q1" s="311" t="s">
        <v>107</v>
      </c>
      <c r="R1" s="311" t="s">
        <v>281</v>
      </c>
      <c r="S1" s="310"/>
      <c r="T1" s="310"/>
      <c r="U1" s="310"/>
      <c r="V1" s="310"/>
      <c r="W1" s="251" t="s">
        <v>282</v>
      </c>
      <c r="X1" s="251" t="s">
        <v>282</v>
      </c>
      <c r="Y1" s="251" t="s">
        <v>283</v>
      </c>
      <c r="Z1" s="251" t="s">
        <v>284</v>
      </c>
      <c r="AA1" s="251" t="s">
        <v>285</v>
      </c>
      <c r="AI1" s="88" t="s">
        <v>286</v>
      </c>
      <c r="AJ1" s="88" t="s">
        <v>287</v>
      </c>
    </row>
    <row r="2" spans="1:37" s="4" customFormat="1">
      <c r="A2" s="270" t="s">
        <v>86</v>
      </c>
      <c r="B2" s="270" t="s">
        <v>86</v>
      </c>
      <c r="C2" s="270" t="s">
        <v>86</v>
      </c>
      <c r="D2" s="252">
        <v>1</v>
      </c>
      <c r="E2" t="s">
        <v>288</v>
      </c>
      <c r="F2" s="250" t="s">
        <v>86</v>
      </c>
      <c r="G2" s="288" t="s">
        <v>86</v>
      </c>
      <c r="H2" s="289" t="s">
        <v>86</v>
      </c>
      <c r="I2" s="289" t="s">
        <v>86</v>
      </c>
      <c r="J2" s="289"/>
      <c r="K2" s="289" t="s">
        <v>86</v>
      </c>
      <c r="L2" s="289" t="s">
        <v>86</v>
      </c>
      <c r="M2" s="289" t="s">
        <v>86</v>
      </c>
      <c r="N2" s="289"/>
      <c r="O2" s="289" t="s">
        <v>86</v>
      </c>
      <c r="P2" s="289" t="s">
        <v>86</v>
      </c>
      <c r="Q2" s="289" t="s">
        <v>86</v>
      </c>
      <c r="R2" s="289" t="s">
        <v>86</v>
      </c>
      <c r="S2" s="289"/>
      <c r="T2" s="253"/>
      <c r="U2" s="253"/>
      <c r="V2" s="253"/>
      <c r="W2" s="289" t="s">
        <v>86</v>
      </c>
      <c r="X2" s="289"/>
      <c r="Y2" s="291" t="s">
        <v>86</v>
      </c>
      <c r="Z2" s="291" t="s">
        <v>86</v>
      </c>
      <c r="AA2" s="291" t="s">
        <v>86</v>
      </c>
      <c r="AI2" s="4">
        <v>1</v>
      </c>
      <c r="AJ2" s="89" t="s">
        <v>289</v>
      </c>
    </row>
    <row r="3" spans="1:37" s="4" customFormat="1" ht="66.2" customHeight="1">
      <c r="A3" s="256" t="s">
        <v>290</v>
      </c>
      <c r="B3" s="256" t="s">
        <v>291</v>
      </c>
      <c r="C3" s="256" t="s">
        <v>292</v>
      </c>
      <c r="D3" s="252">
        <v>2</v>
      </c>
      <c r="E3" t="s">
        <v>293</v>
      </c>
      <c r="F3" s="250" t="s">
        <v>294</v>
      </c>
      <c r="G3" s="270" t="s">
        <v>295</v>
      </c>
      <c r="H3" s="289" t="s">
        <v>296</v>
      </c>
      <c r="I3" s="289" t="s">
        <v>297</v>
      </c>
      <c r="J3" s="289"/>
      <c r="K3" s="289" t="s">
        <v>298</v>
      </c>
      <c r="L3" s="289" t="str">
        <f>CONCATENATE("Оплата Товара производится Покупателем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ввода'!$C$35," календарных дней, исчисляемых начиная со дня, следующего за датой поставки Товара.")</f>
        <v>Оплата Товара производится Покупателем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v>
      </c>
      <c r="M3" s="289" t="s">
        <v>299</v>
      </c>
      <c r="N3" s="289" t="s">
        <v>300</v>
      </c>
      <c r="O3" s="292" t="str">
        <f>CONCATENATE("Оплата Товара производится Покупателем не позднее ",'Форма ввода'!$C$42," календарных дней, исчисляемых начиная со дня, следующего за датой поставки Товара.")</f>
        <v>Оплата Товара производится Покупателем не позднее  календарных дней, исчисляемых начиная со дня, следующего за датой поставки Товара.</v>
      </c>
      <c r="P3" s="289" t="s">
        <v>301</v>
      </c>
      <c r="Q3" s="289" t="s">
        <v>302</v>
      </c>
      <c r="R3" s="289" t="s">
        <v>303</v>
      </c>
      <c r="S3" s="289"/>
      <c r="T3" s="289"/>
      <c r="U3" s="289"/>
      <c r="V3" s="289"/>
      <c r="W3" s="289" t="s">
        <v>304</v>
      </c>
      <c r="X3" s="289" t="s">
        <v>305</v>
      </c>
      <c r="Y3" s="291" t="s">
        <v>306</v>
      </c>
      <c r="Z3" s="293" t="s">
        <v>307</v>
      </c>
      <c r="AA3" s="294" t="s">
        <v>308</v>
      </c>
      <c r="AI3" s="4">
        <v>2</v>
      </c>
      <c r="AJ3" s="89" t="s">
        <v>309</v>
      </c>
    </row>
    <row r="4" spans="1:37" s="4" customFormat="1" ht="84.75" customHeight="1">
      <c r="A4" s="256" t="s">
        <v>310</v>
      </c>
      <c r="B4" s="256" t="s">
        <v>311</v>
      </c>
      <c r="C4" s="256" t="s">
        <v>312</v>
      </c>
      <c r="D4" s="252">
        <v>3</v>
      </c>
      <c r="E4" t="s">
        <v>313</v>
      </c>
      <c r="F4" s="250" t="s">
        <v>314</v>
      </c>
      <c r="G4" s="270" t="s">
        <v>315</v>
      </c>
      <c r="H4" s="289" t="str">
        <f>CONCATENATE("в течение ",'Форма ввода'!C25," календарных дней с даты подписания настоящего дополнительного соглашения, но не ранее ",TEXT(DAY('Форма ввода'!C26),"00")&amp;" "&amp;VLOOKUP(MONTH('Форма ввода'!C26),Справочник!$D$2:$E$13,2,0)&amp;" "&amp;YEAR('Форма ввода'!C26)&amp;" г.")</f>
        <v>в течение  календарных дней с даты подписания настоящего дополнительного соглашения, но не ранее 00 января 1900 г.</v>
      </c>
      <c r="I4" s="290" t="s">
        <v>316</v>
      </c>
      <c r="J4" s="289"/>
      <c r="K4" s="289" t="s">
        <v>317</v>
      </c>
      <c r="L4" s="289"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ввода'!$C$34," календарных дней, исчисляемых начиная со дня, следующего за датой заключения настоящего Дополнительного соглашения.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4" s="289" t="s">
        <v>300</v>
      </c>
      <c r="N4" s="289" t="s">
        <v>299</v>
      </c>
      <c r="O4" s="289" t="str">
        <f>CONCATENATE("Оплата Товара производится Покупателем в порядке предварительной оплаты  в размере 100%"," стоимости Товара не позднее ",TEXT(DAY('Форма ввода'!C43),"00")&amp;" "&amp;VLOOKUP(MONTH('Форма ввода'!C43),Справочник!$D$2:$E$13,2,0)&amp;" "&amp;YEAR('Форма ввода'!C43)&amp;" г.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не позднее 00 января 1900 г.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4" s="289" t="str">
        <f>CONCATENATE('Форма ввода'!C62," с даты ввода в эксплуатацию, но не более ",'Форма ввода'!C63," с даты поставки Товара.")</f>
        <v>(Выпадающий список) с даты ввода в эксплуатацию, но не более (Выпадающий список) с даты поставки Товара.</v>
      </c>
      <c r="Q4" s="295" t="s">
        <v>318</v>
      </c>
      <c r="R4" s="289" t="s">
        <v>319</v>
      </c>
      <c r="S4" s="289"/>
      <c r="T4" s="295"/>
      <c r="U4" s="295"/>
      <c r="V4" s="295"/>
      <c r="W4" s="289" t="s">
        <v>320</v>
      </c>
      <c r="X4" s="289" t="s">
        <v>321</v>
      </c>
      <c r="Y4" s="296" t="s">
        <v>322</v>
      </c>
      <c r="Z4" s="293" t="s">
        <v>323</v>
      </c>
      <c r="AA4" s="294" t="s">
        <v>324</v>
      </c>
      <c r="AI4" s="4">
        <v>3</v>
      </c>
      <c r="AJ4" s="89" t="s">
        <v>325</v>
      </c>
    </row>
    <row r="5" spans="1:37" ht="72" customHeight="1">
      <c r="A5" s="256" t="s">
        <v>326</v>
      </c>
      <c r="B5" s="256" t="s">
        <v>327</v>
      </c>
      <c r="C5" s="256" t="s">
        <v>328</v>
      </c>
      <c r="D5" s="252">
        <v>4</v>
      </c>
      <c r="E5" t="s">
        <v>329</v>
      </c>
      <c r="F5" s="250" t="s">
        <v>330</v>
      </c>
      <c r="G5" s="270" t="s">
        <v>331</v>
      </c>
      <c r="H5" s="290" t="str">
        <f>CONCATENATE("в течение ",'Форма ввода'!C25," календарных дней с даты перечисления авансового платежа, но не ранее ",TEXT(DAY('Форма ввода'!C26),"00")&amp;" "&amp;VLOOKUP(MONTH('Форма ввода'!C26),Справочник!$D$2:$E$13,2,0)&amp;" "&amp;YEAR('Форма ввода'!C26)&amp;" г.")</f>
        <v>в течение  календарных дней с даты перечисления авансового платежа, но не ранее 00 января 1900 г.</v>
      </c>
      <c r="I5" s="289" t="s">
        <v>332</v>
      </c>
      <c r="J5" s="290"/>
      <c r="K5" s="290" t="s">
        <v>333</v>
      </c>
      <c r="L5" s="289" t="str">
        <f>CONCATENATE("Оплата Товара производится Покупателем в порядке предварительной оплаты  в размере ",TEXT('Форма ввода'!$C$36,"0%"),"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ввода'!$C$34," календарных дней, исчисляемых начиная со дня,  следующего за датой заключения настоящего Дополнительного соглашения."," Оплата Товара в размере ",TEXT('Форма ввода'!$C$37,"0%"),"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 'Форма ввода'!$C$35, " календарных дней, исчисляемых начиная со дня, следующего за датой поставки Товара.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Оплата Товара в размере 90%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5" s="290" t="s">
        <v>334</v>
      </c>
      <c r="N5" s="289" t="s">
        <v>299</v>
      </c>
      <c r="O5" s="292" t="str">
        <f>CONCATENATE("Оплата Товара производится Покупателем в порядке предварительной оплаты в размере 100%"," стоимости Товара не позднее ",'Форма ввода'!$C$41," календарных дней, исчисляемых начиная со дня, следующего за датой заключения настоящего Дополнительного соглашения.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не позднее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5" s="289" t="str">
        <f>CONCATENATE('Форма ввода'!C63," с даты поставки Товара.")</f>
        <v>(Выпадающий список) с даты поставки Товара.</v>
      </c>
      <c r="Q5" s="295" t="s">
        <v>335</v>
      </c>
      <c r="R5" s="289" t="s">
        <v>336</v>
      </c>
      <c r="S5" s="289"/>
      <c r="T5" s="289"/>
      <c r="U5" s="289"/>
      <c r="V5" s="289"/>
      <c r="W5" s="289" t="s">
        <v>337</v>
      </c>
      <c r="X5" s="289" t="s">
        <v>338</v>
      </c>
      <c r="Y5" s="296" t="s">
        <v>339</v>
      </c>
      <c r="Z5" s="297" t="s">
        <v>340</v>
      </c>
      <c r="AA5" s="298" t="s">
        <v>341</v>
      </c>
      <c r="AI5" s="4">
        <v>4</v>
      </c>
      <c r="AJ5" s="89" t="s">
        <v>342</v>
      </c>
      <c r="AK5" s="4"/>
    </row>
    <row r="6" spans="1:37" ht="130.5" customHeight="1">
      <c r="A6" s="256" t="s">
        <v>343</v>
      </c>
      <c r="B6" s="256" t="s">
        <v>344</v>
      </c>
      <c r="C6" s="256" t="s">
        <v>345</v>
      </c>
      <c r="D6" s="252">
        <v>5</v>
      </c>
      <c r="E6" t="s">
        <v>346</v>
      </c>
      <c r="F6" s="250" t="s">
        <v>347</v>
      </c>
      <c r="G6" s="270" t="s">
        <v>348</v>
      </c>
      <c r="H6" s="290" t="str">
        <f>CONCATENATE(TEXT(DAY('Форма ввода'!C26),"00")&amp;" "&amp;VLOOKUP(MONTH('Форма ввода'!C26),Справочник!$D$2:$E$13,2,0)&amp;" "&amp;YEAR('Форма ввода'!C26)&amp;" г.")</f>
        <v>00 января 1900 г.</v>
      </c>
      <c r="J6" s="289"/>
      <c r="K6" s="289" t="s">
        <v>349</v>
      </c>
      <c r="L6" s="289"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ввода'!$C$34,"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гарантии."&amp;" В случае если к моменту доставки Товара Покупателю банковская гарантия возврата авансового платежа не"&amp;"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первый рабочий четверг, "&amp;"а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"&amp; 'Форма ввода'!$C$35 &amp;" календарных дней, исчисляемых начиная со дня, следующего за датой поставки Товара."&amp;" Все предоставляемые по Договору банковские гарантии должны соответствовать требованиям, указанным в Положении о банковских гарантиях, доступ" &amp;"  к которому предоставлен по ссылке: https://www.sibur.ru/about/SIBURs-contract-terms-and-conditions/bank_guarantees/." &amp;"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&amp;"  Если аванс меньше или равен сумме поставленного Товара, то аванс зачитывается в полном размере." &amp;"  Если аванс превышает сумму поставленного Товара, то аванс зачитывается в полной стоимости Товара до полного зачета аванса. " &amp;" При перечислении денежных средств за поставленный Товар, оплата производится за вычетом зачтенного аванса/части аванса." &amp;"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Все предоставляемые по Договору банковские гарантии должны соответствовать требованиям, указанным в Положении о банковских гарантиях, доступ  к которому предоставлен по ссылке: https://www.sibur.ru/about/SIBURs-contract-terms-and-conditions/bank_guarantees/.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6" s="289"/>
      <c r="N6" s="290"/>
      <c r="O6" s="289"/>
      <c r="P6" s="299"/>
      <c r="Q6" s="295" t="s">
        <v>350</v>
      </c>
      <c r="R6" s="289" t="s">
        <v>351</v>
      </c>
      <c r="S6" s="5"/>
      <c r="T6" s="289"/>
      <c r="U6" s="289"/>
      <c r="V6" s="289"/>
      <c r="W6" s="289" t="s">
        <v>352</v>
      </c>
      <c r="X6" s="289" t="s">
        <v>353</v>
      </c>
      <c r="Y6" s="296" t="s">
        <v>354</v>
      </c>
      <c r="Z6" s="297" t="s">
        <v>355</v>
      </c>
      <c r="AA6" s="291" t="s">
        <v>356</v>
      </c>
      <c r="AI6" s="4">
        <v>5</v>
      </c>
      <c r="AJ6" s="89" t="s">
        <v>357</v>
      </c>
      <c r="AK6" s="4"/>
    </row>
    <row r="7" spans="1:37" ht="372">
      <c r="A7" s="256" t="s">
        <v>358</v>
      </c>
      <c r="B7" s="256" t="s">
        <v>359</v>
      </c>
      <c r="C7" s="256" t="s">
        <v>360</v>
      </c>
      <c r="D7" s="252">
        <v>6</v>
      </c>
      <c r="E7" t="s">
        <v>361</v>
      </c>
      <c r="F7" s="250" t="s">
        <v>294</v>
      </c>
      <c r="G7" s="270" t="s">
        <v>362</v>
      </c>
      <c r="H7" s="290" t="str">
        <f>CONCATENATE("с ", TEXT(DAY('Форма ввода'!C26),"00")&amp;" "&amp;VLOOKUP(MONTH('Форма ввода'!C26),Справочник!$D$2:$E$13,2,0)&amp;" "&amp;YEAR('Форма ввода'!C26)&amp;" г. по ",TEXT(DAY('Форма ввода'!C27),"00")&amp;" "&amp;VLOOKUP(MONTH('Форма ввода'!C27),Справочник!$D$2:$E$13,2,0)&amp;" "&amp;YEAR('Форма ввода'!C27)&amp;" г.")</f>
        <v>с 00 января 1900 г. по 00 января 1900 г.</v>
      </c>
      <c r="K7" s="290" t="s">
        <v>363</v>
      </c>
      <c r="L7" s="289" t="str">
        <f>CONCATENATE("Оплата Товара производится Покупателем в порядке предварительной оплаты  в размере ",TEXT('Форма ввода'!$C$36,"0%"),"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ввода'!$C$34,"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Договора"&amp;"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гарантия"&amp;"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банковской"&amp;" гарантии не подтверждена, оплата Товара производится в порядке, предусмотренном нижеследующим абзацем."," Оплата Товара в размере ",TEXT('Форма ввода'!$C$37,"0%"),"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ввода'!$C$35, " календарных дней, исчисляемых начиная со дня, следующего за датой поставки Товара."&amp;" Все предоставляемые по Договору банковские гарантии должны соответствовать требованиям, указанным в Положении о банковских гарантиях, доступ" &amp;"  к которому предоставлен по ссылке: https://www.sibur.ru/about/SIBURs-contract-terms-and-conditions/bank_guarantees/." &amp;"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&amp;"  Если аванс меньше или равен сумме поставленного Товара, то аванс зачитывается в полном размере." &amp;"  Если аванс превышает сумму поставленного Товара, то аванс зачитывается в полной стоимости Товара до полного зачета аванса. " &amp;" При перечислении денежных средств за поставленный Товар, оплата производится за вычетом зачтенного аванса/части аванса." &amp;"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порядке, предусмотренном нижеследующим абзацем. Оплата Товара в размере 90%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Все предоставляемые по Договору банковские гарантии должны соответствовать требованиям, указанным в Положении о банковских гарантиях, доступ  к которому предоставлен по ссылке: https://www.sibur.ru/about/SIBURs-contract-terms-and-conditions/bank_guarantees/.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7" s="289"/>
      <c r="N7" s="290" t="s">
        <v>334</v>
      </c>
      <c r="O7" s="289" t="str">
        <f>CONCATENATE("Оплата Товара производится Покупателем в порядке предварительной оплаты  в размере ",TEXT('Форма ввода'!$C$45,"0%")," стоимости Товара  не позднее ",TEXT(DAY('Форма ввода'!C43),"00")&amp;" "&amp;VLOOKUP(MONTH('Форма ввода'!C43),Справочник!$D$2:$E$13,2,0)&amp;" "&amp;YEAR('Форма ввода'!C43)&amp;" г.",
"
Оплата Товара в размере ",TEXT('Форма ввода'!$C$46,"0%")," стоимости Товара производится Покупателем не позднее ",'Форма ввода'!$C$42," календарных дней, исчисляемых начиная со дня, следующего за датой поставки Товара.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не позднее 00 января 1900 г.
Оплата Товара в размере 100% стоимости Товара производится Покупателем не позднее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7" s="289" t="s">
        <v>86</v>
      </c>
      <c r="Q7" s="300" t="str">
        <f>IF(OR('Форма ввода'!D87="+",'Форма ввода'!D88="+"),"Дата, определяемая в соответствии с п. " &amp; IF('Форма ввода'!C71="да","14","13") &amp; " настоящего Дополнительного соглашения.","Данный вариант доступен только при включении условий входного контроля")</f>
        <v>Данный вариант доступен только при включении условий входного контроля</v>
      </c>
      <c r="R7" s="289" t="s">
        <v>364</v>
      </c>
      <c r="S7" s="5"/>
      <c r="T7" s="289"/>
      <c r="U7" s="289"/>
      <c r="V7" s="289"/>
      <c r="W7" s="289" t="s">
        <v>365</v>
      </c>
      <c r="X7" s="289" t="s">
        <v>366</v>
      </c>
      <c r="Y7" s="296" t="s">
        <v>367</v>
      </c>
      <c r="Z7" s="297" t="s">
        <v>368</v>
      </c>
      <c r="AA7" s="291" t="s">
        <v>369</v>
      </c>
      <c r="AI7" s="4">
        <v>6</v>
      </c>
      <c r="AJ7" s="89" t="s">
        <v>370</v>
      </c>
      <c r="AK7" s="4"/>
    </row>
    <row r="8" spans="1:37" ht="275.25" customHeight="1">
      <c r="A8" s="256" t="s">
        <v>371</v>
      </c>
      <c r="B8" s="256" t="s">
        <v>372</v>
      </c>
      <c r="C8" s="256" t="s">
        <v>373</v>
      </c>
      <c r="D8" s="252">
        <v>7</v>
      </c>
      <c r="E8" t="s">
        <v>374</v>
      </c>
      <c r="F8"/>
      <c r="G8" s="270" t="s">
        <v>375</v>
      </c>
      <c r="H8" s="290" t="str">
        <f>CONCATENATE(TEXT(DAY('Форма ввода'!C26),"00")&amp;" "&amp;VLOOKUP(MONTH('Форма ввода'!C26),Справочник!$D$2:$E$13,2,0)&amp;" "&amp;YEAR('Форма ввода'!C26)&amp;" г., при условии подписания настоящего Дополнительного соглашения обеими сторонами до ",TEXT(DAY('Форма ввода'!C28),"00")&amp;" "&amp;VLOOKUP(MONTH('Форма ввода'!C28),Справочник!$D$2:$E$13,2,0)&amp;" "&amp;YEAR('Форма ввода'!C28)&amp;" г., в случае подписания настоящего Дополнительного соглашения последней из сторон позднее ",TEXT(DAY('Форма ввода'!C28),"00")&amp;" "&amp;VLOOKUP(MONTH('Форма ввода'!C28),Справочник!$D$2:$E$13,2,0)&amp;" "&amp;YEAR('Форма ввода'!C28)&amp;" г., срок поставки Товара увеличивается на количество календарных дней соответствующее количеству календарных дней задержки подписания настоящего Дополнительного соглашения последней из сторон.")</f>
        <v>00 января 1900 г., при условии подписания настоящего Дополнительного соглашения обеими сторонами до 00 января 1900 г., в случае подписания настоящего Дополнительного соглашения последней из сторон позднее 00 января 1900 г., срок поставки Товара увеличивается на количество календарных дней соответствующее количеству календарных дней задержки подписания настоящего Дополнительного соглашения последней из сторон.</v>
      </c>
      <c r="I8" s="301"/>
      <c r="N8" s="290"/>
      <c r="O8" s="292"/>
      <c r="P8" s="289" t="s">
        <v>301</v>
      </c>
      <c r="Q8" s="302"/>
      <c r="R8" s="289" t="s">
        <v>376</v>
      </c>
      <c r="S8" s="5"/>
      <c r="T8" s="289"/>
      <c r="U8" s="289"/>
      <c r="V8" s="289"/>
      <c r="W8" s="289" t="s">
        <v>377</v>
      </c>
      <c r="X8" s="289" t="s">
        <v>378</v>
      </c>
      <c r="Y8" s="296" t="s">
        <v>379</v>
      </c>
      <c r="Z8" s="297" t="s">
        <v>380</v>
      </c>
      <c r="AA8" s="298" t="s">
        <v>381</v>
      </c>
      <c r="AI8" s="4">
        <v>7</v>
      </c>
      <c r="AJ8" s="89" t="s">
        <v>382</v>
      </c>
      <c r="AK8" s="4"/>
    </row>
    <row r="9" spans="1:37" ht="252" customHeight="1">
      <c r="A9" s="256" t="s">
        <v>383</v>
      </c>
      <c r="B9" s="256" t="s">
        <v>384</v>
      </c>
      <c r="C9" s="256" t="s">
        <v>385</v>
      </c>
      <c r="D9" s="252">
        <v>8</v>
      </c>
      <c r="E9" t="s">
        <v>386</v>
      </c>
      <c r="F9"/>
      <c r="G9" s="270" t="s">
        <v>387</v>
      </c>
      <c r="H9" s="289" t="s">
        <v>388</v>
      </c>
      <c r="I9" s="301"/>
      <c r="K9" s="289" t="s">
        <v>298</v>
      </c>
      <c r="L9" s="289" t="str">
        <f>CONCATENATE("Оплата Товара производится Покупателем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Многосторонний'!C35," календарных дней, исчисляемых начиная со дня, следующего за датой поставки Товара.")</f>
        <v>Оплата Товара производится Покупателем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v>
      </c>
      <c r="N9" s="290" t="s">
        <v>334</v>
      </c>
      <c r="O9" s="292" t="str">
        <f>CONCATENATE("Оплата Товара производится Покупателем в порядке предварительной оплаты в размере ",TEXT('Форма ввода'!$C$45,"0%")," стоимости Товара не позднее ",'Форма ввода'!$C$41," календарных дней, исчисляемых начиная со дня, следующего за датой заключения настоящего Дополнительного соглашения.
",
"Оплата Товара в размере ",TEXT('Форма ввода'!$C$46,"0%")," стоимости Товара производится Покупателем не позднее ",'Форма ввода'!$C$42," календарных дней, исчисляемых начиная со дня, следующего за датой поставки Товара.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не позднее  календарных дней, исчисляемых начиная со дня, следующего за датой заключения настоящего Дополнительного соглашения.
Оплата Товара в размере 100% стоимости Товара производится Покупателем не позднее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9" s="289" t="str">
        <f>CONCATENATE('Форма ввода Многосторонний'!C62," с даты ввода в эксплуатацию, но не более ",'Форма ввода Многосторонний'!C63," с даты поставки Товара.")</f>
        <v>(Выпадающий список) с даты ввода в эксплуатацию, но не более (Выпадающий список) с даты поставки Товара.</v>
      </c>
      <c r="Q9" s="301"/>
      <c r="R9" s="289" t="s">
        <v>389</v>
      </c>
      <c r="S9" s="5"/>
      <c r="T9" s="289"/>
      <c r="U9" s="289"/>
      <c r="V9" s="289"/>
      <c r="W9" s="289" t="s">
        <v>390</v>
      </c>
      <c r="X9" s="289" t="s">
        <v>391</v>
      </c>
      <c r="Y9" s="296" t="s">
        <v>392</v>
      </c>
      <c r="Z9" s="297" t="s">
        <v>393</v>
      </c>
      <c r="AA9" s="298" t="s">
        <v>394</v>
      </c>
      <c r="AI9" s="4">
        <v>8</v>
      </c>
      <c r="AJ9" s="89" t="s">
        <v>395</v>
      </c>
      <c r="AK9" s="4"/>
    </row>
    <row r="10" spans="1:37" ht="48.2" customHeight="1">
      <c r="A10" s="256" t="s">
        <v>396</v>
      </c>
      <c r="B10" s="256" t="s">
        <v>397</v>
      </c>
      <c r="C10" s="256" t="s">
        <v>398</v>
      </c>
      <c r="D10" s="252">
        <v>9</v>
      </c>
      <c r="E10" t="s">
        <v>399</v>
      </c>
      <c r="F10"/>
      <c r="G10" s="270" t="s">
        <v>400</v>
      </c>
      <c r="I10" s="301"/>
      <c r="K10" s="289" t="s">
        <v>317</v>
      </c>
      <c r="L10" s="289"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Многосторонний'!$C$34," календарных дней, исчисляемых начиная со дня, следующего за датой заключения настоящего Дополнительного соглашения.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10" s="289" t="str">
        <f>CONCATENATE('Форма ввода Многосторонний'!C63," с даты поставки Товара.")</f>
        <v>(Выпадающий список) с даты поставки Товара.</v>
      </c>
      <c r="Q10" s="301"/>
      <c r="R10" s="289" t="s">
        <v>401</v>
      </c>
      <c r="S10" s="5"/>
      <c r="U10" s="303"/>
      <c r="V10" s="304"/>
      <c r="W10" s="301"/>
      <c r="X10" s="301"/>
      <c r="Y10" s="296" t="s">
        <v>402</v>
      </c>
      <c r="Z10" s="297" t="s">
        <v>403</v>
      </c>
      <c r="AA10" s="298" t="s">
        <v>404</v>
      </c>
      <c r="AI10" s="4">
        <v>9</v>
      </c>
      <c r="AJ10" s="89" t="s">
        <v>405</v>
      </c>
      <c r="AK10" s="4"/>
    </row>
    <row r="11" spans="1:37" ht="48.75" customHeight="1">
      <c r="A11" s="256" t="s">
        <v>406</v>
      </c>
      <c r="B11" s="256" t="s">
        <v>407</v>
      </c>
      <c r="C11" s="256" t="s">
        <v>408</v>
      </c>
      <c r="D11" s="252">
        <v>10</v>
      </c>
      <c r="E11" t="s">
        <v>409</v>
      </c>
      <c r="F11"/>
      <c r="G11" s="270" t="s">
        <v>410</v>
      </c>
      <c r="I11" s="301"/>
      <c r="K11" s="290" t="s">
        <v>333</v>
      </c>
      <c r="L11" s="289" t="str">
        <f>CONCATENATE("Оплата Товара производится Покупателем в порядке предварительной оплаты  в размере ",TEXT('Форма ввода Многосторонний'!$C$36,"0%"),"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Многосторонний'!$C$34," календарных дней, исчисляемых начиная со дня,  следующего за датой заключения настоящего Дополнительного соглашения."," Оплата Товара в размере ",TEXT('Форма ввода Многосторонний'!$C$37,"0%"),"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 'Форма ввода Многосторонний'!$C$35, " календарных дней, исчисляемых начиная со дня, следующего за датой поставки Товара. " &amp;"Авансовый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&amp;"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&amp;"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 &amp;"начиная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Оплата Товара в размере 100%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11" s="301"/>
      <c r="Q11" s="301"/>
      <c r="R11" s="289" t="s">
        <v>411</v>
      </c>
      <c r="S11" s="5"/>
      <c r="T11" s="289"/>
      <c r="U11" s="289"/>
      <c r="V11" s="289"/>
      <c r="W11" s="301"/>
      <c r="X11" s="301"/>
      <c r="Y11" s="291" t="s">
        <v>412</v>
      </c>
      <c r="Z11" s="297" t="s">
        <v>413</v>
      </c>
      <c r="AA11" s="298" t="s">
        <v>324</v>
      </c>
      <c r="AI11" s="4">
        <v>10</v>
      </c>
      <c r="AJ11" s="89" t="s">
        <v>414</v>
      </c>
      <c r="AK11" s="4"/>
    </row>
    <row r="12" spans="1:37" ht="360">
      <c r="A12" s="256" t="s">
        <v>415</v>
      </c>
      <c r="B12" s="256" t="s">
        <v>416</v>
      </c>
      <c r="C12" s="256" t="s">
        <v>417</v>
      </c>
      <c r="D12" s="252">
        <v>11</v>
      </c>
      <c r="E12" t="s">
        <v>418</v>
      </c>
      <c r="F12"/>
      <c r="G12" s="270" t="s">
        <v>419</v>
      </c>
      <c r="I12" s="305"/>
      <c r="K12" s="289" t="s">
        <v>349</v>
      </c>
      <c r="L12" s="289"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Многосторонний'!$C$34,"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гарантии."&amp;" В случае если к моменту доставки Товара Покупателю банковская гарантия возврата авансового платежа не"&amp;"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первый рабочий четверг, "&amp;"а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"&amp; 'Форма ввода Многосторонний'!$C$35 &amp;" календарных дней, исчисляемых начиная со дня, следующего за датой поставки Товара."&amp;" Все предоставляемые по Договору банковские гарантии должны соответствовать требованиям, указанным в Положении о банковских гарантиях, доступ" &amp;"  к которому предоставлен по ссылке: https://www.sibur.ru/about/SIBURs-contract-terms-and-conditions/bank_guarantees/." &amp;"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&amp;"  Если аванс меньше или равен сумме поставленного Товара, то аванс зачитывается в полном размере." &amp;"  Если аванс превышает сумму поставленного Товара, то аванс зачитывается в полной стоимости Товара до полного зачета аванса. " &amp;" При перечислении денежных средств за поставленный Товар, оплата производится за вычетом зачтенного аванса/части аванса." &amp;"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Все предоставляемые по Договору банковские гарантии должны соответствовать требованиям, указанным в Положении о банковских гарантиях, доступ  к которому предоставлен по ссылке: https://www.sibur.ru/about/SIBURs-contract-terms-and-conditions/bank_guarantees/.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12" s="301"/>
      <c r="Q12" s="301"/>
      <c r="R12" s="289" t="s">
        <v>420</v>
      </c>
      <c r="S12" s="5"/>
      <c r="T12" s="292"/>
      <c r="U12" s="292"/>
      <c r="V12" s="292"/>
      <c r="W12" s="302"/>
      <c r="X12" s="302"/>
      <c r="Y12" s="291" t="s">
        <v>421</v>
      </c>
      <c r="Z12" s="297" t="s">
        <v>422</v>
      </c>
      <c r="AI12" s="4">
        <v>11</v>
      </c>
      <c r="AJ12" s="89" t="s">
        <v>423</v>
      </c>
      <c r="AK12" s="4"/>
    </row>
    <row r="13" spans="1:37" ht="50.25" customHeight="1">
      <c r="A13" s="257" t="s">
        <v>424</v>
      </c>
      <c r="B13" s="257" t="s">
        <v>425</v>
      </c>
      <c r="C13" s="258" t="s">
        <v>426</v>
      </c>
      <c r="D13" s="252">
        <v>12</v>
      </c>
      <c r="E13" t="s">
        <v>427</v>
      </c>
      <c r="F13"/>
      <c r="G13" s="270" t="s">
        <v>428</v>
      </c>
      <c r="I13" s="301"/>
      <c r="K13" s="290" t="s">
        <v>363</v>
      </c>
      <c r="L13" s="289" t="str">
        <f>CONCATENATE("Оплата Товара производится Покупателем в порядке предварительной оплаты  в размере ",TEXT('Форма ввода Многосторонний'!$C$36,"0%"),"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Многосторонний'!$C$34,"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Договора"&amp;"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гарантия"&amp;"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банковской"&amp;" гарантии не подтверждена, оплата Товара производится в порядке, предусмотренном нижеследующим абзацем."," Оплата Товара в размере ",TEXT('Форма ввода Многосторонний'!$C$37,"0%"),"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",'Форма ввода Многосторонний'!$C$35, " календарных дней, исчисляемых начиная со дня, следующего за датой поставки Товара."&amp;" Все предоставляемые по Договору банковские гарантии должны соответствовать требованиям, указанным в Положении о банковских гарантиях, доступ" &amp;"  к которому предоставлен по ссылке: https://www.sibur.ru/about/SIBURs-contract-terms-and-conditions/bank_guarantees/." &amp;"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&amp;"  Если аванс меньше или равен сумме поставленного Товара, то аванс зачитывается в полном размере." &amp;"  Если аванс превышает сумму поставленного Товара, то аванс зачитывается в полной стоимости Товара до полного зачета аванса. " &amp;" При перечислении денежных средств за поставленный Товар, оплата производится за вычетом зачтенного аванса/части аванса." &amp;"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предоставления банковской гарантии возврата авансового платежа, соответствующей требованиям Договора при условии получения Покупателем подтверждения подлинности банковской гарантии. В случае если к моменту доставки Товара Покупателю банковская гарантия возврата авансового платежа не предоставлена, или предоставленная банковская гарантия не соответствует требованиям Договора, или подлинность банковской гарантии не подтверждена, оплата Товара производится в порядке, предусмотренном нижеследующим абзацем. Оплата Товара в размере 100% стоимости Товара производится  в первый рабочий четверг, а если Покупателем, является ПАО «Казаньоргсинтез», ПАО «Нижнекамскнефтехим», АО «СИБУР-РТ» или АО «ТГК-16» или их дочерние общества - первый рабочий вторник, по истечении  календарных дней, исчисляемых начиная со дня, следующего за датой поставки Товара. Все предоставляемые по Договору банковские гарантии должны соответствовать требованиям, указанным в Положении о банковских гарантиях, доступ  к которому предоставлен по ссылке: https://www.sibur.ru/about/SIBURs-contract-terms-and-conditions/bank_guarantees/.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13" s="301"/>
      <c r="Q13" s="305"/>
      <c r="R13" s="289" t="s">
        <v>429</v>
      </c>
      <c r="S13" s="5"/>
      <c r="T13" s="289"/>
      <c r="U13" s="289"/>
      <c r="V13" s="289"/>
      <c r="Y13" s="296" t="s">
        <v>430</v>
      </c>
      <c r="Z13" s="297" t="s">
        <v>431</v>
      </c>
      <c r="AI13" s="4">
        <v>12</v>
      </c>
      <c r="AJ13" s="89" t="s">
        <v>432</v>
      </c>
      <c r="AK13" s="4"/>
    </row>
    <row r="14" spans="1:37" ht="42.75" customHeight="1">
      <c r="A14" s="256" t="s">
        <v>433</v>
      </c>
      <c r="B14" s="256" t="s">
        <v>434</v>
      </c>
      <c r="C14" s="256" t="s">
        <v>435</v>
      </c>
      <c r="F14"/>
      <c r="G14" s="270"/>
      <c r="P14" s="305"/>
      <c r="Q14" s="301"/>
      <c r="R14" s="289" t="s">
        <v>436</v>
      </c>
      <c r="S14" s="5"/>
      <c r="T14" s="292"/>
      <c r="U14" s="292"/>
      <c r="V14" s="292"/>
      <c r="Y14" s="296" t="s">
        <v>437</v>
      </c>
      <c r="Z14" s="297" t="s">
        <v>438</v>
      </c>
      <c r="AI14" s="4">
        <v>13</v>
      </c>
      <c r="AJ14" s="89" t="s">
        <v>439</v>
      </c>
      <c r="AK14" s="4"/>
    </row>
    <row r="15" spans="1:37" ht="27.75" customHeight="1">
      <c r="A15" s="256" t="s">
        <v>440</v>
      </c>
      <c r="B15" s="256" t="s">
        <v>441</v>
      </c>
      <c r="C15" s="256" t="s">
        <v>442</v>
      </c>
      <c r="F15"/>
      <c r="G15" s="270"/>
      <c r="P15" s="301"/>
      <c r="R15" s="289" t="s">
        <v>443</v>
      </c>
      <c r="S15" s="5"/>
      <c r="T15" s="292"/>
      <c r="U15" s="292"/>
      <c r="V15" s="292"/>
      <c r="Y15" s="296" t="s">
        <v>444</v>
      </c>
      <c r="Z15" s="297" t="s">
        <v>445</v>
      </c>
      <c r="AI15" s="4">
        <v>14</v>
      </c>
      <c r="AJ15" s="89" t="s">
        <v>446</v>
      </c>
      <c r="AK15" s="4"/>
    </row>
    <row r="16" spans="1:37" ht="44.45" customHeight="1">
      <c r="A16" s="259" t="s">
        <v>447</v>
      </c>
      <c r="B16" s="259" t="s">
        <v>448</v>
      </c>
      <c r="C16" s="259" t="s">
        <v>449</v>
      </c>
      <c r="F16"/>
      <c r="G16" s="270" t="s">
        <v>450</v>
      </c>
      <c r="R16" s="289" t="s">
        <v>451</v>
      </c>
      <c r="S16" s="5"/>
      <c r="T16" s="289"/>
      <c r="U16" s="289"/>
      <c r="V16" s="289"/>
      <c r="Y16" s="296" t="s">
        <v>452</v>
      </c>
      <c r="Z16" s="297" t="s">
        <v>453</v>
      </c>
      <c r="AI16" s="4">
        <v>15</v>
      </c>
      <c r="AJ16" s="89" t="s">
        <v>454</v>
      </c>
      <c r="AK16" s="4"/>
    </row>
    <row r="17" spans="1:37" ht="26.45" customHeight="1">
      <c r="A17" s="256" t="s">
        <v>455</v>
      </c>
      <c r="B17" s="256" t="s">
        <v>456</v>
      </c>
      <c r="C17" s="256" t="s">
        <v>457</v>
      </c>
      <c r="F17"/>
      <c r="G17" s="270"/>
      <c r="R17" s="289" t="s">
        <v>458</v>
      </c>
      <c r="S17" s="5"/>
      <c r="T17" s="289"/>
      <c r="U17" s="289"/>
      <c r="V17" s="289"/>
      <c r="Y17" s="296" t="s">
        <v>459</v>
      </c>
      <c r="AI17" s="4">
        <v>16</v>
      </c>
      <c r="AJ17" s="89" t="s">
        <v>460</v>
      </c>
      <c r="AK17" s="4"/>
    </row>
    <row r="18" spans="1:37" ht="36">
      <c r="A18" s="260" t="s">
        <v>461</v>
      </c>
      <c r="B18" s="260" t="s">
        <v>462</v>
      </c>
      <c r="C18" s="260" t="s">
        <v>463</v>
      </c>
      <c r="F18"/>
      <c r="G18" s="270"/>
      <c r="O18" s="254"/>
      <c r="R18" s="289" t="s">
        <v>464</v>
      </c>
      <c r="S18" s="5"/>
      <c r="T18" s="292"/>
      <c r="U18" s="292"/>
      <c r="V18" s="292"/>
      <c r="Y18" s="296" t="s">
        <v>465</v>
      </c>
      <c r="AI18" s="4">
        <v>17</v>
      </c>
      <c r="AJ18" s="89" t="s">
        <v>466</v>
      </c>
      <c r="AK18" s="4"/>
    </row>
    <row r="19" spans="1:37" ht="24">
      <c r="A19" s="256" t="s">
        <v>467</v>
      </c>
      <c r="B19" s="256" t="s">
        <v>468</v>
      </c>
      <c r="C19" s="256" t="s">
        <v>469</v>
      </c>
      <c r="F19"/>
      <c r="G19" s="270" t="s">
        <v>470</v>
      </c>
      <c r="N19" s="254"/>
      <c r="O19" s="255"/>
      <c r="R19" s="289" t="s">
        <v>471</v>
      </c>
      <c r="S19" s="5"/>
      <c r="T19" s="292"/>
      <c r="U19" s="292"/>
      <c r="V19" s="292"/>
      <c r="Y19" s="306" t="s">
        <v>472</v>
      </c>
      <c r="AI19" s="4">
        <v>18</v>
      </c>
      <c r="AJ19" s="89" t="s">
        <v>473</v>
      </c>
      <c r="AK19" s="4"/>
    </row>
    <row r="20" spans="1:37" ht="24">
      <c r="A20" s="256" t="s">
        <v>474</v>
      </c>
      <c r="B20" s="256" t="s">
        <v>475</v>
      </c>
      <c r="C20" s="256" t="s">
        <v>476</v>
      </c>
      <c r="F20"/>
      <c r="G20" s="270"/>
      <c r="L20" s="254"/>
      <c r="N20" s="255"/>
      <c r="O20" s="254"/>
      <c r="R20" s="289" t="s">
        <v>477</v>
      </c>
      <c r="S20" s="5"/>
      <c r="T20" s="292"/>
      <c r="U20" s="292"/>
      <c r="V20" s="292"/>
      <c r="Y20" s="306" t="s">
        <v>478</v>
      </c>
      <c r="AI20" s="4">
        <v>19</v>
      </c>
      <c r="AJ20" s="89" t="s">
        <v>479</v>
      </c>
      <c r="AK20" s="4"/>
    </row>
    <row r="21" spans="1:37" ht="36">
      <c r="A21" s="256" t="s">
        <v>480</v>
      </c>
      <c r="B21" s="256" t="s">
        <v>481</v>
      </c>
      <c r="C21" s="256" t="s">
        <v>482</v>
      </c>
      <c r="F21"/>
      <c r="G21" s="270" t="s">
        <v>483</v>
      </c>
      <c r="L21" s="255"/>
      <c r="N21" s="254"/>
      <c r="O21" s="307"/>
      <c r="R21" s="289" t="s">
        <v>484</v>
      </c>
      <c r="S21" s="5"/>
      <c r="T21" s="292"/>
      <c r="U21" s="292"/>
      <c r="V21" s="292"/>
      <c r="Y21" s="306" t="s">
        <v>485</v>
      </c>
      <c r="AI21" s="4">
        <v>20</v>
      </c>
      <c r="AJ21" s="89" t="s">
        <v>486</v>
      </c>
      <c r="AK21" s="4"/>
    </row>
    <row r="22" spans="1:37" ht="16.5" customHeight="1">
      <c r="A22" s="256" t="s">
        <v>487</v>
      </c>
      <c r="B22" s="256" t="s">
        <v>488</v>
      </c>
      <c r="C22" s="256" t="s">
        <v>489</v>
      </c>
      <c r="F22"/>
      <c r="G22" s="270" t="s">
        <v>490</v>
      </c>
      <c r="L22" s="254"/>
      <c r="M22" s="254"/>
      <c r="N22" s="307"/>
      <c r="R22" s="289" t="s">
        <v>491</v>
      </c>
      <c r="S22" s="5"/>
      <c r="T22" s="295"/>
      <c r="U22" s="295"/>
      <c r="V22" s="295"/>
      <c r="AI22" s="4">
        <v>21</v>
      </c>
      <c r="AJ22" s="89" t="s">
        <v>492</v>
      </c>
      <c r="AK22" s="4"/>
    </row>
    <row r="23" spans="1:37" ht="16.5" customHeight="1">
      <c r="A23" s="256" t="s">
        <v>493</v>
      </c>
      <c r="B23" s="256" t="s">
        <v>494</v>
      </c>
      <c r="C23" s="256" t="s">
        <v>495</v>
      </c>
      <c r="G23" s="270" t="s">
        <v>496</v>
      </c>
      <c r="L23" s="307"/>
      <c r="M23" s="255"/>
      <c r="R23" s="289" t="s">
        <v>497</v>
      </c>
      <c r="S23" s="5"/>
      <c r="T23" s="295"/>
      <c r="U23" s="295"/>
      <c r="V23" s="295"/>
      <c r="AI23" s="4">
        <v>22</v>
      </c>
      <c r="AJ23" s="89" t="s">
        <v>498</v>
      </c>
      <c r="AK23" s="4"/>
    </row>
    <row r="24" spans="1:37" ht="16.5" customHeight="1">
      <c r="A24" s="256" t="s">
        <v>499</v>
      </c>
      <c r="B24" s="256" t="s">
        <v>500</v>
      </c>
      <c r="C24" s="256" t="s">
        <v>501</v>
      </c>
      <c r="E24" s="254"/>
      <c r="G24" s="270"/>
      <c r="K24" s="254"/>
      <c r="M24" s="254"/>
      <c r="R24" s="289" t="s">
        <v>502</v>
      </c>
      <c r="S24" s="5"/>
      <c r="T24" s="295"/>
      <c r="U24" s="295"/>
      <c r="V24" s="295"/>
      <c r="AI24" s="4">
        <v>23</v>
      </c>
      <c r="AJ24" s="89" t="s">
        <v>503</v>
      </c>
      <c r="AK24" s="4"/>
    </row>
    <row r="25" spans="1:37" ht="16.5" customHeight="1">
      <c r="A25" s="256" t="s">
        <v>504</v>
      </c>
      <c r="B25" s="256" t="s">
        <v>505</v>
      </c>
      <c r="C25" s="256" t="s">
        <v>506</v>
      </c>
      <c r="E25" s="255"/>
      <c r="G25" s="270" t="s">
        <v>507</v>
      </c>
      <c r="K25" s="254"/>
      <c r="M25" s="307"/>
      <c r="R25" s="289" t="s">
        <v>508</v>
      </c>
      <c r="S25" s="5"/>
      <c r="T25" s="295"/>
      <c r="U25" s="295"/>
      <c r="V25" s="295"/>
      <c r="AI25" s="4">
        <v>24</v>
      </c>
      <c r="AJ25" s="89" t="s">
        <v>509</v>
      </c>
      <c r="AK25" s="4"/>
    </row>
    <row r="26" spans="1:37" ht="16.5" customHeight="1">
      <c r="A26" s="261" t="s">
        <v>510</v>
      </c>
      <c r="B26" s="261" t="s">
        <v>511</v>
      </c>
      <c r="C26" s="261" t="s">
        <v>512</v>
      </c>
      <c r="E26" s="254"/>
      <c r="G26" s="270"/>
      <c r="I26" s="254"/>
      <c r="K26" s="255"/>
      <c r="R26" s="289" t="s">
        <v>513</v>
      </c>
      <c r="S26" s="5"/>
      <c r="T26" s="295"/>
      <c r="U26" s="295"/>
      <c r="V26" s="295"/>
      <c r="AI26" s="4">
        <v>25</v>
      </c>
      <c r="AJ26" s="89" t="s">
        <v>514</v>
      </c>
      <c r="AK26" s="4"/>
    </row>
    <row r="27" spans="1:37" ht="16.5" customHeight="1">
      <c r="A27" s="256" t="s">
        <v>515</v>
      </c>
      <c r="B27" s="256" t="s">
        <v>516</v>
      </c>
      <c r="C27" s="256" t="s">
        <v>517</v>
      </c>
      <c r="F27" s="254"/>
      <c r="G27" s="270"/>
      <c r="I27" s="255"/>
      <c r="J27" s="254"/>
      <c r="K27" s="254"/>
      <c r="Q27" s="254"/>
      <c r="R27" s="289" t="s">
        <v>518</v>
      </c>
      <c r="S27" s="254"/>
      <c r="T27" s="295"/>
      <c r="U27" s="295"/>
      <c r="V27" s="295"/>
      <c r="AI27" s="4">
        <v>26</v>
      </c>
      <c r="AJ27" s="89" t="s">
        <v>519</v>
      </c>
      <c r="AK27" s="4"/>
    </row>
    <row r="28" spans="1:37" ht="16.5" customHeight="1">
      <c r="A28" s="256" t="s">
        <v>520</v>
      </c>
      <c r="B28" s="256" t="s">
        <v>521</v>
      </c>
      <c r="C28" s="256" t="s">
        <v>522</v>
      </c>
      <c r="F28" s="255"/>
      <c r="G28" s="270" t="s">
        <v>523</v>
      </c>
      <c r="I28" s="254"/>
      <c r="J28" s="255"/>
      <c r="P28" s="254"/>
      <c r="Q28" s="255"/>
      <c r="R28" s="289" t="s">
        <v>524</v>
      </c>
      <c r="S28" s="255"/>
      <c r="T28" s="308"/>
      <c r="U28" s="308"/>
      <c r="V28" s="308"/>
      <c r="AI28" s="4">
        <v>27</v>
      </c>
      <c r="AJ28" s="89" t="s">
        <v>525</v>
      </c>
      <c r="AK28" s="4"/>
    </row>
    <row r="29" spans="1:37" ht="16.5" customHeight="1">
      <c r="A29" s="256" t="s">
        <v>526</v>
      </c>
      <c r="B29" s="256" t="s">
        <v>527</v>
      </c>
      <c r="C29" s="256" t="s">
        <v>528</v>
      </c>
      <c r="F29" s="254"/>
      <c r="G29" s="270" t="s">
        <v>529</v>
      </c>
      <c r="J29" s="254"/>
      <c r="P29" s="255"/>
      <c r="Q29" s="254"/>
      <c r="R29" s="289" t="s">
        <v>530</v>
      </c>
      <c r="S29" s="254"/>
      <c r="T29" s="309"/>
      <c r="U29" s="309"/>
      <c r="V29" s="309"/>
      <c r="AI29" s="4">
        <v>28</v>
      </c>
      <c r="AJ29" s="89" t="s">
        <v>531</v>
      </c>
      <c r="AK29" s="4"/>
    </row>
    <row r="30" spans="1:37" ht="16.5" customHeight="1">
      <c r="A30" s="256" t="s">
        <v>532</v>
      </c>
      <c r="B30" s="256" t="s">
        <v>533</v>
      </c>
      <c r="C30" s="256" t="s">
        <v>534</v>
      </c>
      <c r="G30" s="270"/>
      <c r="P30" s="254"/>
      <c r="Q30" s="307"/>
      <c r="R30" s="289" t="s">
        <v>535</v>
      </c>
      <c r="S30" s="5"/>
      <c r="T30" s="308"/>
      <c r="U30" s="308"/>
      <c r="V30" s="308"/>
      <c r="AI30" s="4">
        <v>29</v>
      </c>
      <c r="AJ30" s="89" t="s">
        <v>536</v>
      </c>
      <c r="AK30" s="4"/>
    </row>
    <row r="31" spans="1:37" ht="16.5" customHeight="1">
      <c r="A31" s="256" t="s">
        <v>537</v>
      </c>
      <c r="B31" s="256" t="s">
        <v>538</v>
      </c>
      <c r="C31" s="256" t="s">
        <v>539</v>
      </c>
      <c r="G31" s="271" t="s">
        <v>540</v>
      </c>
      <c r="P31" s="307"/>
      <c r="Q31" s="307"/>
      <c r="R31" s="289" t="s">
        <v>541</v>
      </c>
      <c r="S31" s="5"/>
      <c r="T31" s="295"/>
      <c r="U31" s="295"/>
      <c r="V31" s="295"/>
      <c r="AI31" s="4">
        <v>30</v>
      </c>
      <c r="AJ31" s="89" t="s">
        <v>542</v>
      </c>
      <c r="AK31" s="4"/>
    </row>
    <row r="32" spans="1:37" ht="16.5" customHeight="1">
      <c r="A32" s="287" t="s">
        <v>543</v>
      </c>
      <c r="B32" s="287" t="s">
        <v>544</v>
      </c>
      <c r="C32" s="287" t="s">
        <v>545</v>
      </c>
      <c r="G32" s="270" t="s">
        <v>546</v>
      </c>
      <c r="P32" s="307"/>
      <c r="Q32" s="307"/>
      <c r="R32" s="289" t="s">
        <v>547</v>
      </c>
      <c r="S32" s="5"/>
      <c r="T32" s="295"/>
      <c r="U32" s="295"/>
      <c r="V32" s="295"/>
      <c r="AI32" s="4">
        <v>31</v>
      </c>
      <c r="AJ32" s="89" t="s">
        <v>548</v>
      </c>
      <c r="AK32" s="4"/>
    </row>
    <row r="33" spans="1:37" ht="16.5" customHeight="1">
      <c r="A33" s="287" t="s">
        <v>549</v>
      </c>
      <c r="B33" s="287" t="s">
        <v>550</v>
      </c>
      <c r="C33" s="287" t="s">
        <v>551</v>
      </c>
      <c r="G33" s="270"/>
      <c r="P33" s="307"/>
      <c r="R33" s="289" t="s">
        <v>552</v>
      </c>
      <c r="S33" s="5"/>
      <c r="T33" s="295"/>
      <c r="U33" s="295"/>
      <c r="V33" s="295"/>
      <c r="AI33" s="4">
        <v>32</v>
      </c>
      <c r="AJ33" s="89" t="s">
        <v>553</v>
      </c>
      <c r="AK33" s="4"/>
    </row>
    <row r="34" spans="1:37" ht="16.5" customHeight="1">
      <c r="A34" s="287" t="s">
        <v>554</v>
      </c>
      <c r="B34" s="287" t="s">
        <v>555</v>
      </c>
      <c r="C34" s="287" t="s">
        <v>556</v>
      </c>
      <c r="G34" s="270"/>
      <c r="R34" s="289" t="s">
        <v>557</v>
      </c>
      <c r="S34" s="5"/>
      <c r="T34" s="295"/>
      <c r="U34" s="295"/>
      <c r="V34" s="295"/>
      <c r="AI34" s="4">
        <v>33</v>
      </c>
      <c r="AJ34" s="89" t="s">
        <v>558</v>
      </c>
      <c r="AK34" s="4"/>
    </row>
    <row r="35" spans="1:37" ht="16.5" customHeight="1">
      <c r="A35" s="287" t="s">
        <v>559</v>
      </c>
      <c r="B35" s="287" t="s">
        <v>560</v>
      </c>
      <c r="C35" s="287" t="s">
        <v>561</v>
      </c>
      <c r="G35" s="270"/>
      <c r="R35" s="289" t="s">
        <v>562</v>
      </c>
      <c r="S35" s="5"/>
      <c r="T35" s="295"/>
      <c r="U35" s="295"/>
      <c r="V35" s="295"/>
      <c r="AI35" s="4">
        <v>34</v>
      </c>
      <c r="AJ35" s="89" t="s">
        <v>563</v>
      </c>
      <c r="AK35" s="4"/>
    </row>
    <row r="36" spans="1:37" ht="18" customHeight="1">
      <c r="A36" s="287" t="s">
        <v>564</v>
      </c>
      <c r="B36" s="287" t="s">
        <v>565</v>
      </c>
      <c r="C36" s="287" t="s">
        <v>566</v>
      </c>
      <c r="G36" s="270"/>
      <c r="O36" s="5"/>
      <c r="R36" s="289" t="s">
        <v>567</v>
      </c>
      <c r="S36" s="5"/>
      <c r="T36" s="295"/>
      <c r="U36" s="295"/>
      <c r="V36" s="295"/>
      <c r="AI36" s="4">
        <v>35</v>
      </c>
      <c r="AJ36" s="89" t="s">
        <v>568</v>
      </c>
      <c r="AK36" s="4"/>
    </row>
    <row r="37" spans="1:37" ht="16.5" customHeight="1">
      <c r="A37" s="287" t="s">
        <v>569</v>
      </c>
      <c r="B37" s="287" t="s">
        <v>570</v>
      </c>
      <c r="C37" s="287" t="s">
        <v>571</v>
      </c>
      <c r="G37" s="270"/>
      <c r="N37" s="5"/>
      <c r="O37" s="6"/>
      <c r="R37" s="289" t="s">
        <v>572</v>
      </c>
      <c r="S37" s="5"/>
      <c r="T37" s="295"/>
      <c r="U37" s="295"/>
      <c r="V37" s="295"/>
      <c r="AI37" s="4">
        <v>36</v>
      </c>
      <c r="AJ37" s="89" t="s">
        <v>573</v>
      </c>
      <c r="AK37" s="4"/>
    </row>
    <row r="38" spans="1:37" ht="16.5" customHeight="1">
      <c r="A38" s="287" t="s">
        <v>574</v>
      </c>
      <c r="B38" s="287" t="s">
        <v>575</v>
      </c>
      <c r="C38" s="287" t="s">
        <v>576</v>
      </c>
      <c r="G38" s="270"/>
      <c r="L38" s="5"/>
      <c r="N38" s="6"/>
      <c r="O38" s="6"/>
      <c r="R38" s="289" t="s">
        <v>577</v>
      </c>
      <c r="S38" s="5"/>
      <c r="T38" s="295"/>
      <c r="U38" s="295"/>
      <c r="V38" s="295"/>
      <c r="AI38" s="4">
        <v>37</v>
      </c>
      <c r="AJ38" s="89" t="s">
        <v>578</v>
      </c>
      <c r="AK38" s="4"/>
    </row>
    <row r="39" spans="1:37" ht="16.5" customHeight="1">
      <c r="A39" s="287" t="s">
        <v>579</v>
      </c>
      <c r="B39" s="287" t="s">
        <v>580</v>
      </c>
      <c r="C39" s="287" t="s">
        <v>581</v>
      </c>
      <c r="G39" s="270"/>
      <c r="L39" s="6"/>
      <c r="N39" s="6"/>
      <c r="O39" s="6"/>
      <c r="R39" s="289" t="s">
        <v>582</v>
      </c>
      <c r="S39" s="5"/>
      <c r="T39" s="295"/>
      <c r="U39" s="295"/>
      <c r="V39" s="295"/>
      <c r="AI39" s="4">
        <v>38</v>
      </c>
      <c r="AJ39" s="89" t="s">
        <v>583</v>
      </c>
      <c r="AK39" s="4"/>
    </row>
    <row r="40" spans="1:37" ht="16.5" customHeight="1">
      <c r="A40" s="287" t="s">
        <v>584</v>
      </c>
      <c r="B40" s="287" t="s">
        <v>585</v>
      </c>
      <c r="C40" s="287" t="s">
        <v>586</v>
      </c>
      <c r="G40" s="270"/>
      <c r="L40" s="6"/>
      <c r="M40" s="5"/>
      <c r="N40" s="6"/>
      <c r="O40" s="5"/>
      <c r="R40" s="289" t="s">
        <v>587</v>
      </c>
      <c r="S40" s="5"/>
      <c r="T40" s="295"/>
      <c r="U40" s="295"/>
      <c r="V40" s="295"/>
      <c r="AI40" s="4">
        <v>39</v>
      </c>
      <c r="AJ40" s="89" t="s">
        <v>588</v>
      </c>
      <c r="AK40" s="4"/>
    </row>
    <row r="41" spans="1:37" ht="16.5" customHeight="1">
      <c r="A41" s="263" t="s">
        <v>589</v>
      </c>
      <c r="B41" s="263" t="s">
        <v>590</v>
      </c>
      <c r="C41" s="263" t="s">
        <v>591</v>
      </c>
      <c r="G41" s="270" t="s">
        <v>592</v>
      </c>
      <c r="L41" s="6"/>
      <c r="M41" s="6"/>
      <c r="N41" s="5"/>
      <c r="O41" s="6"/>
      <c r="R41" s="289" t="s">
        <v>593</v>
      </c>
      <c r="S41" s="5"/>
      <c r="T41" s="295"/>
      <c r="U41" s="295"/>
      <c r="V41" s="295"/>
      <c r="AI41" s="4">
        <v>40</v>
      </c>
      <c r="AJ41" s="89" t="s">
        <v>594</v>
      </c>
      <c r="AK41" s="4"/>
    </row>
    <row r="42" spans="1:37" ht="16.5" customHeight="1">
      <c r="A42" s="268" t="s">
        <v>595</v>
      </c>
      <c r="B42" s="269" t="s">
        <v>596</v>
      </c>
      <c r="C42" s="269" t="s">
        <v>597</v>
      </c>
      <c r="G42" s="264" t="s">
        <v>598</v>
      </c>
      <c r="L42" s="5"/>
      <c r="M42" s="6"/>
      <c r="N42" s="6"/>
      <c r="O42" s="6"/>
      <c r="R42" s="289" t="s">
        <v>599</v>
      </c>
      <c r="S42" s="5"/>
      <c r="T42" s="295"/>
      <c r="U42" s="295"/>
      <c r="V42" s="295"/>
      <c r="AI42" s="4">
        <v>41</v>
      </c>
      <c r="AJ42" s="89" t="s">
        <v>600</v>
      </c>
      <c r="AK42" s="4"/>
    </row>
    <row r="43" spans="1:37" ht="16.5" customHeight="1">
      <c r="A43" s="262" t="s">
        <v>601</v>
      </c>
      <c r="B43" s="262" t="s">
        <v>601</v>
      </c>
      <c r="C43" s="262" t="s">
        <v>602</v>
      </c>
      <c r="G43" s="264" t="s">
        <v>603</v>
      </c>
      <c r="L43" s="6"/>
      <c r="M43" s="6"/>
      <c r="N43" s="6"/>
      <c r="O43" s="6"/>
      <c r="R43" s="289" t="s">
        <v>604</v>
      </c>
      <c r="S43" s="5"/>
      <c r="T43" s="295"/>
      <c r="U43" s="295"/>
      <c r="V43" s="295"/>
      <c r="AI43" s="4">
        <v>42</v>
      </c>
      <c r="AJ43" s="89" t="s">
        <v>605</v>
      </c>
      <c r="AK43" s="4"/>
    </row>
    <row r="44" spans="1:37" ht="16.5" customHeight="1">
      <c r="A44" s="262" t="s">
        <v>606</v>
      </c>
      <c r="B44" s="262" t="s">
        <v>607</v>
      </c>
      <c r="C44" s="262" t="s">
        <v>608</v>
      </c>
      <c r="G44" s="264" t="s">
        <v>609</v>
      </c>
      <c r="L44" s="6"/>
      <c r="M44" s="5"/>
      <c r="N44" s="6"/>
      <c r="O44" s="5"/>
      <c r="R44" s="289" t="s">
        <v>610</v>
      </c>
      <c r="S44" s="5"/>
      <c r="T44" s="295"/>
      <c r="U44" s="295"/>
      <c r="V44" s="295"/>
      <c r="AI44" s="4">
        <v>43</v>
      </c>
      <c r="AJ44" s="89" t="s">
        <v>611</v>
      </c>
      <c r="AK44" s="4"/>
    </row>
    <row r="45" spans="1:37" ht="16.5" customHeight="1">
      <c r="A45" s="262" t="s">
        <v>612</v>
      </c>
      <c r="B45" s="262" t="s">
        <v>613</v>
      </c>
      <c r="C45" s="262" t="s">
        <v>614</v>
      </c>
      <c r="G45" s="264" t="s">
        <v>615</v>
      </c>
      <c r="L45" s="6"/>
      <c r="M45" s="6"/>
      <c r="N45" s="5"/>
      <c r="R45" s="289" t="s">
        <v>616</v>
      </c>
      <c r="S45" s="5"/>
      <c r="T45" s="295"/>
      <c r="U45" s="295"/>
      <c r="V45" s="295"/>
      <c r="AI45" s="4">
        <v>44</v>
      </c>
      <c r="AJ45" s="89" t="s">
        <v>617</v>
      </c>
      <c r="AK45" s="4"/>
    </row>
    <row r="46" spans="1:37" ht="16.5" customHeight="1">
      <c r="A46" s="262" t="s">
        <v>618</v>
      </c>
      <c r="B46" s="262" t="s">
        <v>619</v>
      </c>
      <c r="C46" s="262" t="s">
        <v>620</v>
      </c>
      <c r="G46" s="264" t="s">
        <v>621</v>
      </c>
      <c r="M46" s="5"/>
      <c r="N46" s="6"/>
      <c r="O46" s="5"/>
      <c r="Q46" s="6"/>
      <c r="R46" s="289" t="s">
        <v>622</v>
      </c>
      <c r="S46" s="5"/>
      <c r="T46" s="295"/>
      <c r="U46" s="295"/>
      <c r="V46" s="295"/>
      <c r="AI46" s="4">
        <v>45</v>
      </c>
      <c r="AJ46" s="89" t="s">
        <v>623</v>
      </c>
      <c r="AK46" s="4"/>
    </row>
    <row r="47" spans="1:37" ht="16.5" customHeight="1">
      <c r="A47" s="262" t="s">
        <v>624</v>
      </c>
      <c r="B47" s="262" t="s">
        <v>625</v>
      </c>
      <c r="C47" s="262" t="s">
        <v>626</v>
      </c>
      <c r="G47" s="264" t="s">
        <v>627</v>
      </c>
      <c r="L47" s="6"/>
      <c r="N47" s="5"/>
      <c r="P47" s="6"/>
      <c r="Q47" s="6"/>
      <c r="R47" s="289" t="s">
        <v>628</v>
      </c>
      <c r="S47" s="5"/>
      <c r="T47" s="295"/>
      <c r="U47" s="295"/>
      <c r="V47" s="295"/>
      <c r="AI47" s="4">
        <v>46</v>
      </c>
      <c r="AJ47" s="89" t="s">
        <v>629</v>
      </c>
      <c r="AK47" s="4"/>
    </row>
    <row r="48" spans="1:37" ht="16.5" customHeight="1">
      <c r="A48" s="262" t="s">
        <v>630</v>
      </c>
      <c r="B48" s="262" t="s">
        <v>630</v>
      </c>
      <c r="C48" s="262" t="s">
        <v>631</v>
      </c>
      <c r="G48" s="264" t="s">
        <v>632</v>
      </c>
      <c r="L48" s="5"/>
      <c r="P48" s="6"/>
      <c r="Q48" s="6"/>
      <c r="R48" s="289" t="s">
        <v>633</v>
      </c>
      <c r="S48" s="5"/>
      <c r="T48" s="295"/>
      <c r="U48" s="295"/>
      <c r="V48" s="295"/>
      <c r="AI48" s="4">
        <v>47</v>
      </c>
      <c r="AJ48" s="89" t="s">
        <v>634</v>
      </c>
      <c r="AK48" s="4"/>
    </row>
    <row r="49" spans="1:37" ht="16.5" customHeight="1">
      <c r="A49" s="262" t="s">
        <v>635</v>
      </c>
      <c r="B49" s="262" t="s">
        <v>635</v>
      </c>
      <c r="C49" s="262" t="s">
        <v>636</v>
      </c>
      <c r="D49" s="5"/>
      <c r="E49" s="5"/>
      <c r="G49" s="264" t="s">
        <v>637</v>
      </c>
      <c r="M49" s="6"/>
      <c r="P49" s="6"/>
      <c r="Q49" s="5"/>
      <c r="R49" s="289" t="s">
        <v>638</v>
      </c>
      <c r="S49" s="5"/>
      <c r="T49" s="295"/>
      <c r="U49" s="295"/>
      <c r="V49" s="295"/>
      <c r="AI49" s="4">
        <v>48</v>
      </c>
      <c r="AJ49" s="89" t="s">
        <v>639</v>
      </c>
      <c r="AK49" s="4"/>
    </row>
    <row r="50" spans="1:37" ht="16.5" customHeight="1">
      <c r="A50" s="262" t="s">
        <v>640</v>
      </c>
      <c r="B50" s="262" t="s">
        <v>641</v>
      </c>
      <c r="C50" s="262" t="s">
        <v>642</v>
      </c>
      <c r="D50" s="6"/>
      <c r="E50" s="6"/>
      <c r="G50" s="264"/>
      <c r="K50" s="6"/>
      <c r="M50" s="5"/>
      <c r="P50" s="5"/>
      <c r="Q50" s="6"/>
      <c r="R50" s="289" t="s">
        <v>643</v>
      </c>
      <c r="S50" s="5"/>
      <c r="T50" s="295"/>
      <c r="U50" s="295"/>
      <c r="V50" s="295"/>
      <c r="AI50" s="4">
        <v>49</v>
      </c>
      <c r="AJ50" s="89" t="s">
        <v>644</v>
      </c>
      <c r="AK50" s="4"/>
    </row>
    <row r="51" spans="1:37" ht="16.5" customHeight="1">
      <c r="A51" s="262" t="s">
        <v>645</v>
      </c>
      <c r="B51" s="262" t="s">
        <v>646</v>
      </c>
      <c r="C51" s="262" t="s">
        <v>647</v>
      </c>
      <c r="D51" s="6"/>
      <c r="E51" s="6"/>
      <c r="G51" s="264"/>
      <c r="H51" s="6"/>
      <c r="I51" s="6"/>
      <c r="K51" s="5"/>
      <c r="P51" s="6"/>
      <c r="Q51" s="6"/>
      <c r="R51" s="289" t="s">
        <v>648</v>
      </c>
      <c r="S51" s="5"/>
      <c r="T51" s="295"/>
      <c r="U51" s="295"/>
      <c r="V51" s="295"/>
      <c r="AI51" s="4">
        <v>50</v>
      </c>
      <c r="AJ51" s="89" t="s">
        <v>649</v>
      </c>
      <c r="AK51" s="4"/>
    </row>
    <row r="52" spans="1:37" ht="16.5" customHeight="1">
      <c r="A52" s="262" t="s">
        <v>650</v>
      </c>
      <c r="B52" s="262" t="s">
        <v>650</v>
      </c>
      <c r="C52" s="262" t="s">
        <v>651</v>
      </c>
      <c r="D52" s="6"/>
      <c r="E52" s="6"/>
      <c r="G52" s="264" t="s">
        <v>652</v>
      </c>
      <c r="H52" s="5"/>
      <c r="I52" s="5"/>
      <c r="J52" s="6"/>
      <c r="P52" s="6"/>
      <c r="Q52" s="6"/>
      <c r="R52" s="289" t="s">
        <v>653</v>
      </c>
      <c r="S52" s="5"/>
      <c r="T52" s="295"/>
      <c r="U52" s="295"/>
      <c r="V52" s="295"/>
      <c r="AI52" s="4">
        <v>51</v>
      </c>
      <c r="AJ52" s="89" t="s">
        <v>654</v>
      </c>
      <c r="AK52" s="4"/>
    </row>
    <row r="53" spans="1:37" ht="16.5" customHeight="1">
      <c r="A53" s="262" t="s">
        <v>655</v>
      </c>
      <c r="B53" s="262" t="s">
        <v>655</v>
      </c>
      <c r="C53" s="262" t="s">
        <v>656</v>
      </c>
      <c r="D53" s="5"/>
      <c r="E53" s="5"/>
      <c r="G53" s="264" t="s">
        <v>657</v>
      </c>
      <c r="J53" s="5"/>
      <c r="P53" s="6"/>
      <c r="Q53" s="5"/>
      <c r="R53" s="289" t="s">
        <v>658</v>
      </c>
      <c r="S53" s="5"/>
      <c r="T53" s="295"/>
      <c r="U53" s="295"/>
      <c r="V53" s="295"/>
      <c r="AI53" s="4">
        <v>52</v>
      </c>
      <c r="AJ53" s="89" t="s">
        <v>659</v>
      </c>
      <c r="AK53" s="4"/>
    </row>
    <row r="54" spans="1:37" ht="16.5" customHeight="1">
      <c r="A54" s="262" t="s">
        <v>660</v>
      </c>
      <c r="B54" s="262" t="s">
        <v>661</v>
      </c>
      <c r="C54" s="262" t="s">
        <v>662</v>
      </c>
      <c r="D54" s="6"/>
      <c r="E54" s="6"/>
      <c r="G54" s="264" t="s">
        <v>663</v>
      </c>
      <c r="K54" s="6"/>
      <c r="P54" s="5"/>
      <c r="R54" s="289" t="s">
        <v>664</v>
      </c>
      <c r="S54" s="5"/>
      <c r="T54" s="295"/>
      <c r="U54" s="295"/>
      <c r="V54" s="295"/>
      <c r="AI54" s="4">
        <v>53</v>
      </c>
      <c r="AJ54" s="89" t="s">
        <v>665</v>
      </c>
      <c r="AK54" s="4"/>
    </row>
    <row r="55" spans="1:37" ht="16.5" customHeight="1">
      <c r="A55" s="262" t="s">
        <v>666</v>
      </c>
      <c r="B55" s="262" t="s">
        <v>666</v>
      </c>
      <c r="C55" s="262" t="s">
        <v>667</v>
      </c>
      <c r="D55" s="5"/>
      <c r="E55" s="5"/>
      <c r="G55" s="264" t="s">
        <v>668</v>
      </c>
      <c r="H55" s="6"/>
      <c r="I55" s="6"/>
      <c r="K55" s="5"/>
      <c r="R55" s="289" t="s">
        <v>669</v>
      </c>
      <c r="S55" s="5"/>
      <c r="T55" s="295"/>
      <c r="U55" s="295"/>
      <c r="V55" s="295"/>
      <c r="AI55" s="4">
        <v>54</v>
      </c>
      <c r="AJ55" s="89" t="s">
        <v>670</v>
      </c>
      <c r="AK55" s="4"/>
    </row>
    <row r="56" spans="1:37" ht="16.5" customHeight="1">
      <c r="A56" s="262" t="s">
        <v>671</v>
      </c>
      <c r="B56" s="262" t="s">
        <v>672</v>
      </c>
      <c r="C56" s="262" t="s">
        <v>673</v>
      </c>
      <c r="G56" s="264"/>
      <c r="H56" s="5"/>
      <c r="I56" s="5"/>
      <c r="J56" s="6"/>
      <c r="Q56" s="6"/>
      <c r="R56" s="289" t="s">
        <v>674</v>
      </c>
      <c r="S56" s="5"/>
      <c r="T56" s="295"/>
      <c r="U56" s="295"/>
      <c r="V56" s="295"/>
      <c r="AI56" s="4">
        <v>55</v>
      </c>
      <c r="AJ56" s="89" t="s">
        <v>675</v>
      </c>
      <c r="AK56" s="4"/>
    </row>
    <row r="57" spans="1:37" ht="18.75">
      <c r="A57" s="262" t="s">
        <v>676</v>
      </c>
      <c r="B57" s="262" t="s">
        <v>677</v>
      </c>
      <c r="C57" s="262" t="s">
        <v>678</v>
      </c>
      <c r="G57" s="264" t="s">
        <v>679</v>
      </c>
      <c r="J57" s="5"/>
      <c r="P57" s="6"/>
      <c r="Q57" s="5"/>
      <c r="R57" s="289" t="s">
        <v>680</v>
      </c>
      <c r="S57" s="5"/>
      <c r="T57" s="295"/>
      <c r="U57" s="295"/>
      <c r="V57" s="295"/>
      <c r="AI57" s="4">
        <v>56</v>
      </c>
      <c r="AJ57" s="89" t="s">
        <v>681</v>
      </c>
      <c r="AK57" s="4"/>
    </row>
    <row r="58" spans="1:37" ht="16.5" customHeight="1">
      <c r="A58" s="262" t="s">
        <v>682</v>
      </c>
      <c r="B58" s="262" t="s">
        <v>682</v>
      </c>
      <c r="C58" s="262" t="s">
        <v>683</v>
      </c>
      <c r="D58" s="6"/>
      <c r="E58" s="6"/>
      <c r="G58" s="264" t="s">
        <v>684</v>
      </c>
      <c r="P58" s="5"/>
      <c r="R58" s="289" t="s">
        <v>685</v>
      </c>
      <c r="S58" s="5"/>
      <c r="T58" s="295"/>
      <c r="U58" s="295"/>
      <c r="V58" s="295"/>
      <c r="AI58" s="4">
        <v>57</v>
      </c>
      <c r="AJ58" s="89" t="s">
        <v>686</v>
      </c>
      <c r="AK58" s="4"/>
    </row>
    <row r="59" spans="1:37" ht="16.5" customHeight="1">
      <c r="A59" s="262" t="s">
        <v>687</v>
      </c>
      <c r="B59" s="262" t="s">
        <v>688</v>
      </c>
      <c r="C59" s="262" t="s">
        <v>689</v>
      </c>
      <c r="D59" s="5"/>
      <c r="E59" s="5"/>
      <c r="G59" s="264"/>
      <c r="R59" s="289" t="s">
        <v>690</v>
      </c>
      <c r="S59" s="5"/>
      <c r="T59" s="295"/>
      <c r="U59" s="295"/>
      <c r="V59" s="295"/>
      <c r="AI59" s="4">
        <v>58</v>
      </c>
      <c r="AJ59" s="89" t="s">
        <v>691</v>
      </c>
      <c r="AK59" s="4"/>
    </row>
    <row r="60" spans="1:37" ht="16.5" customHeight="1">
      <c r="A60" s="262" t="s">
        <v>692</v>
      </c>
      <c r="B60" s="262" t="s">
        <v>693</v>
      </c>
      <c r="C60" s="262" t="s">
        <v>694</v>
      </c>
      <c r="G60" s="264" t="s">
        <v>695</v>
      </c>
      <c r="R60" s="289" t="s">
        <v>696</v>
      </c>
      <c r="S60" s="5"/>
      <c r="T60" s="295"/>
      <c r="U60" s="295"/>
      <c r="V60" s="295"/>
      <c r="AI60" s="4">
        <v>59</v>
      </c>
      <c r="AJ60" s="89" t="s">
        <v>697</v>
      </c>
      <c r="AK60" s="4"/>
    </row>
    <row r="61" spans="1:37" ht="16.5" customHeight="1">
      <c r="A61" s="262" t="s">
        <v>698</v>
      </c>
      <c r="B61" s="262" t="s">
        <v>699</v>
      </c>
      <c r="C61" s="262" t="s">
        <v>700</v>
      </c>
      <c r="G61" s="264" t="s">
        <v>701</v>
      </c>
      <c r="R61" s="289" t="s">
        <v>702</v>
      </c>
      <c r="S61" s="5"/>
      <c r="T61" s="295"/>
      <c r="U61" s="295"/>
      <c r="V61" s="295"/>
      <c r="AI61" s="4">
        <v>60</v>
      </c>
      <c r="AJ61" s="89" t="s">
        <v>703</v>
      </c>
      <c r="AK61" s="4"/>
    </row>
    <row r="62" spans="1:37" ht="16.5" customHeight="1">
      <c r="A62" s="264" t="s">
        <v>704</v>
      </c>
      <c r="B62" s="262" t="s">
        <v>705</v>
      </c>
      <c r="C62" s="264" t="s">
        <v>706</v>
      </c>
      <c r="G62" s="264" t="s">
        <v>707</v>
      </c>
      <c r="R62" s="289" t="s">
        <v>708</v>
      </c>
      <c r="S62" s="5"/>
      <c r="T62" s="295"/>
      <c r="U62" s="295"/>
      <c r="V62" s="295"/>
      <c r="AI62" s="4">
        <v>62</v>
      </c>
      <c r="AJ62" s="89" t="s">
        <v>709</v>
      </c>
      <c r="AK62" s="4"/>
    </row>
    <row r="63" spans="1:37" ht="16.5" customHeight="1">
      <c r="A63" s="265" t="s">
        <v>710</v>
      </c>
      <c r="B63" s="265" t="s">
        <v>711</v>
      </c>
      <c r="C63" s="263" t="s">
        <v>712</v>
      </c>
      <c r="G63" s="264" t="s">
        <v>713</v>
      </c>
      <c r="R63" s="289" t="s">
        <v>714</v>
      </c>
      <c r="S63" s="5"/>
      <c r="T63" s="295"/>
      <c r="U63" s="295"/>
      <c r="V63" s="295"/>
      <c r="AI63" s="4">
        <v>63</v>
      </c>
      <c r="AJ63" s="89" t="s">
        <v>715</v>
      </c>
      <c r="AK63" s="4"/>
    </row>
    <row r="64" spans="1:37" ht="16.5" customHeight="1">
      <c r="A64" s="262" t="s">
        <v>716</v>
      </c>
      <c r="B64" s="262" t="s">
        <v>717</v>
      </c>
      <c r="C64" s="262" t="s">
        <v>718</v>
      </c>
      <c r="G64" s="264"/>
      <c r="R64" s="289" t="s">
        <v>719</v>
      </c>
      <c r="S64" s="5"/>
      <c r="T64" s="295"/>
      <c r="U64" s="295"/>
      <c r="V64" s="295"/>
      <c r="AI64" s="4">
        <v>64</v>
      </c>
      <c r="AJ64" s="89" t="s">
        <v>720</v>
      </c>
      <c r="AK64" s="4"/>
    </row>
    <row r="65" spans="1:37" ht="16.5" customHeight="1">
      <c r="A65" s="262" t="s">
        <v>721</v>
      </c>
      <c r="B65" s="262" t="s">
        <v>722</v>
      </c>
      <c r="C65" s="262" t="s">
        <v>723</v>
      </c>
      <c r="G65" s="264"/>
      <c r="R65" s="289" t="s">
        <v>724</v>
      </c>
      <c r="S65" s="5"/>
      <c r="T65" s="295"/>
      <c r="U65" s="295"/>
      <c r="V65" s="295"/>
      <c r="AI65" s="4">
        <v>65</v>
      </c>
      <c r="AJ65" s="89" t="s">
        <v>725</v>
      </c>
      <c r="AK65" s="4"/>
    </row>
    <row r="66" spans="1:37" ht="16.5" customHeight="1">
      <c r="A66" s="262" t="s">
        <v>726</v>
      </c>
      <c r="B66" s="262" t="s">
        <v>726</v>
      </c>
      <c r="C66" s="262" t="s">
        <v>727</v>
      </c>
      <c r="G66" s="264" t="s">
        <v>728</v>
      </c>
      <c r="R66" s="289" t="s">
        <v>729</v>
      </c>
      <c r="T66" s="295"/>
      <c r="U66" s="295"/>
      <c r="V66" s="295"/>
      <c r="AI66" s="4">
        <v>66</v>
      </c>
      <c r="AJ66" s="89" t="s">
        <v>730</v>
      </c>
      <c r="AK66" s="4"/>
    </row>
    <row r="67" spans="1:37" ht="16.5" customHeight="1">
      <c r="A67" s="266" t="s">
        <v>731</v>
      </c>
      <c r="B67" s="266" t="s">
        <v>732</v>
      </c>
      <c r="C67" s="267" t="s">
        <v>733</v>
      </c>
      <c r="G67" s="264" t="s">
        <v>734</v>
      </c>
      <c r="R67" s="289" t="s">
        <v>735</v>
      </c>
      <c r="AI67" s="4">
        <v>67</v>
      </c>
      <c r="AJ67" s="89" t="s">
        <v>736</v>
      </c>
      <c r="AK67" s="4"/>
    </row>
    <row r="68" spans="1:37" ht="16.5" customHeight="1">
      <c r="G68" s="264"/>
      <c r="R68" s="289" t="s">
        <v>737</v>
      </c>
      <c r="AI68" s="4">
        <v>68</v>
      </c>
      <c r="AJ68" s="89" t="s">
        <v>738</v>
      </c>
      <c r="AK68" s="4"/>
    </row>
    <row r="69" spans="1:37" ht="16.5" customHeight="1">
      <c r="R69" s="289" t="s">
        <v>739</v>
      </c>
      <c r="AI69" s="4">
        <v>69</v>
      </c>
      <c r="AJ69" s="89" t="s">
        <v>740</v>
      </c>
      <c r="AK69" s="4"/>
    </row>
    <row r="70" spans="1:37" ht="16.5" customHeight="1">
      <c r="A70" s="6"/>
      <c r="B70" s="6"/>
      <c r="C70" s="6"/>
      <c r="R70" s="289" t="s">
        <v>741</v>
      </c>
      <c r="AI70" s="4">
        <v>70</v>
      </c>
      <c r="AJ70" s="89" t="s">
        <v>742</v>
      </c>
      <c r="AK70" s="4"/>
    </row>
    <row r="71" spans="1:37" ht="16.5" customHeight="1">
      <c r="A71" s="6"/>
      <c r="B71" s="6"/>
      <c r="C71" s="6"/>
      <c r="R71" s="289" t="s">
        <v>743</v>
      </c>
      <c r="AI71" s="4">
        <v>71</v>
      </c>
      <c r="AJ71" s="89" t="s">
        <v>744</v>
      </c>
      <c r="AK71" s="4"/>
    </row>
    <row r="72" spans="1:37" ht="16.5" customHeight="1">
      <c r="B72" s="5"/>
      <c r="C72" s="5"/>
      <c r="R72" s="289" t="s">
        <v>745</v>
      </c>
      <c r="AI72" s="4">
        <v>72</v>
      </c>
      <c r="AJ72" s="89" t="s">
        <v>746</v>
      </c>
      <c r="AK72" s="4"/>
    </row>
    <row r="73" spans="1:37" ht="16.5" customHeight="1">
      <c r="R73" s="289" t="s">
        <v>747</v>
      </c>
      <c r="AI73" s="4">
        <v>73</v>
      </c>
      <c r="AJ73" s="89" t="s">
        <v>748</v>
      </c>
      <c r="AK73" s="4"/>
    </row>
    <row r="74" spans="1:37" ht="16.5" customHeight="1">
      <c r="R74" s="289" t="s">
        <v>749</v>
      </c>
      <c r="AI74" s="4">
        <v>74</v>
      </c>
      <c r="AJ74" s="89" t="s">
        <v>750</v>
      </c>
      <c r="AK74" s="4"/>
    </row>
    <row r="75" spans="1:37" ht="16.5" customHeight="1">
      <c r="B75" s="6"/>
      <c r="C75" s="6"/>
      <c r="R75" s="289" t="s">
        <v>751</v>
      </c>
      <c r="AI75" s="4">
        <v>75</v>
      </c>
      <c r="AJ75" s="89" t="s">
        <v>752</v>
      </c>
      <c r="AK75" s="4"/>
    </row>
    <row r="76" spans="1:37" ht="16.5" customHeight="1">
      <c r="R76" s="289" t="s">
        <v>753</v>
      </c>
      <c r="AI76" s="4">
        <v>76</v>
      </c>
      <c r="AJ76" s="89" t="s">
        <v>754</v>
      </c>
      <c r="AK76" s="4"/>
    </row>
    <row r="77" spans="1:37" ht="16.5" customHeight="1">
      <c r="B77" s="6"/>
      <c r="C77" s="6"/>
      <c r="R77" s="289" t="s">
        <v>755</v>
      </c>
      <c r="AI77" s="4">
        <v>77</v>
      </c>
      <c r="AJ77" s="89" t="s">
        <v>756</v>
      </c>
      <c r="AK77" s="4"/>
    </row>
    <row r="78" spans="1:37" ht="16.5" customHeight="1">
      <c r="R78" s="289" t="s">
        <v>757</v>
      </c>
      <c r="AI78" s="4">
        <v>78</v>
      </c>
      <c r="AJ78" s="89" t="s">
        <v>758</v>
      </c>
      <c r="AK78" s="4"/>
    </row>
    <row r="79" spans="1:37" ht="16.5" customHeight="1">
      <c r="B79" s="6"/>
      <c r="C79" s="6"/>
      <c r="R79" s="289" t="s">
        <v>759</v>
      </c>
      <c r="AI79" s="4">
        <v>79</v>
      </c>
      <c r="AJ79" s="89" t="s">
        <v>760</v>
      </c>
      <c r="AK79" s="4"/>
    </row>
    <row r="80" spans="1:37" ht="16.5" customHeight="1">
      <c r="R80" s="289" t="s">
        <v>761</v>
      </c>
      <c r="AI80" s="4">
        <v>80</v>
      </c>
      <c r="AJ80" s="89" t="s">
        <v>762</v>
      </c>
      <c r="AK80" s="4"/>
    </row>
    <row r="81" spans="2:37" ht="16.5" customHeight="1">
      <c r="B81" s="6"/>
      <c r="C81" s="6"/>
      <c r="R81" s="289" t="s">
        <v>763</v>
      </c>
      <c r="AI81" s="4">
        <v>81</v>
      </c>
      <c r="AJ81" s="89" t="s">
        <v>764</v>
      </c>
      <c r="AK81" s="4"/>
    </row>
    <row r="82" spans="2:37" ht="16.5" customHeight="1">
      <c r="R82" s="289" t="s">
        <v>765</v>
      </c>
      <c r="AI82" s="4">
        <v>82</v>
      </c>
      <c r="AJ82" s="89" t="s">
        <v>766</v>
      </c>
      <c r="AK82" s="4"/>
    </row>
    <row r="83" spans="2:37" ht="16.5" customHeight="1">
      <c r="B83" s="6"/>
      <c r="C83" s="6"/>
      <c r="R83" s="289" t="s">
        <v>767</v>
      </c>
      <c r="AI83" s="4">
        <v>83</v>
      </c>
      <c r="AJ83" s="89" t="s">
        <v>768</v>
      </c>
      <c r="AK83" s="4"/>
    </row>
    <row r="84" spans="2:37" ht="16.5" customHeight="1">
      <c r="R84" s="289" t="s">
        <v>769</v>
      </c>
      <c r="AI84" s="4">
        <v>84</v>
      </c>
      <c r="AJ84" s="89" t="s">
        <v>770</v>
      </c>
      <c r="AK84" s="4"/>
    </row>
    <row r="85" spans="2:37" ht="16.5" customHeight="1">
      <c r="B85" s="6"/>
      <c r="C85" s="6"/>
      <c r="R85" s="289" t="s">
        <v>771</v>
      </c>
      <c r="AI85" s="4">
        <v>85</v>
      </c>
      <c r="AJ85" s="89" t="s">
        <v>772</v>
      </c>
      <c r="AK85" s="4"/>
    </row>
    <row r="86" spans="2:37" ht="16.5" customHeight="1">
      <c r="R86" s="289" t="s">
        <v>773</v>
      </c>
      <c r="AI86" s="4">
        <v>86</v>
      </c>
      <c r="AJ86" s="89" t="s">
        <v>774</v>
      </c>
      <c r="AK86" s="4"/>
    </row>
    <row r="87" spans="2:37" ht="16.5" customHeight="1">
      <c r="B87" s="6"/>
      <c r="C87" s="6"/>
      <c r="R87" s="289" t="s">
        <v>775</v>
      </c>
      <c r="AI87" s="4">
        <v>87</v>
      </c>
      <c r="AJ87" s="89" t="s">
        <v>776</v>
      </c>
      <c r="AK87" s="4"/>
    </row>
    <row r="88" spans="2:37" ht="16.5" customHeight="1">
      <c r="R88" s="289" t="s">
        <v>777</v>
      </c>
      <c r="AI88" s="4">
        <v>88</v>
      </c>
      <c r="AJ88" s="89" t="s">
        <v>778</v>
      </c>
      <c r="AK88" s="4"/>
    </row>
    <row r="89" spans="2:37" ht="16.5" customHeight="1">
      <c r="B89" s="6"/>
      <c r="C89" s="6"/>
      <c r="R89" s="289" t="s">
        <v>779</v>
      </c>
      <c r="AI89" s="4">
        <v>89</v>
      </c>
      <c r="AJ89" s="89" t="s">
        <v>780</v>
      </c>
      <c r="AK89" s="4"/>
    </row>
    <row r="90" spans="2:37" ht="16.5" customHeight="1">
      <c r="R90" s="289" t="s">
        <v>781</v>
      </c>
      <c r="AI90" s="4">
        <v>90</v>
      </c>
      <c r="AJ90" s="89" t="s">
        <v>782</v>
      </c>
      <c r="AK90" s="4"/>
    </row>
    <row r="91" spans="2:37" ht="16.5" customHeight="1">
      <c r="B91" s="6"/>
      <c r="C91" s="6"/>
      <c r="R91" s="289" t="s">
        <v>783</v>
      </c>
      <c r="AI91" s="4">
        <v>91</v>
      </c>
      <c r="AJ91" s="89" t="s">
        <v>784</v>
      </c>
      <c r="AK91" s="4"/>
    </row>
    <row r="92" spans="2:37" ht="16.5" customHeight="1">
      <c r="R92" s="289" t="s">
        <v>785</v>
      </c>
      <c r="AI92" s="4">
        <v>92</v>
      </c>
      <c r="AJ92" s="89" t="s">
        <v>786</v>
      </c>
      <c r="AK92" s="4"/>
    </row>
    <row r="93" spans="2:37" ht="16.5" customHeight="1">
      <c r="B93" s="6"/>
      <c r="C93" s="6"/>
      <c r="R93" s="289" t="s">
        <v>787</v>
      </c>
      <c r="AI93" s="4">
        <v>93</v>
      </c>
      <c r="AJ93" s="89" t="s">
        <v>788</v>
      </c>
      <c r="AK93" s="4"/>
    </row>
    <row r="94" spans="2:37" ht="16.5" customHeight="1">
      <c r="R94" s="289" t="s">
        <v>789</v>
      </c>
      <c r="AI94" s="4">
        <v>94</v>
      </c>
      <c r="AJ94" s="89" t="s">
        <v>790</v>
      </c>
      <c r="AK94" s="4"/>
    </row>
    <row r="95" spans="2:37" ht="18.75">
      <c r="B95" s="6"/>
      <c r="C95" s="6"/>
      <c r="R95" s="289" t="s">
        <v>791</v>
      </c>
      <c r="AI95" s="4">
        <v>95</v>
      </c>
      <c r="AJ95" s="89" t="s">
        <v>792</v>
      </c>
      <c r="AK95" s="4"/>
    </row>
    <row r="96" spans="2:37" ht="15">
      <c r="R96" s="289" t="s">
        <v>793</v>
      </c>
      <c r="AI96" s="4">
        <v>96</v>
      </c>
      <c r="AJ96" s="89" t="s">
        <v>794</v>
      </c>
      <c r="AK96" s="4"/>
    </row>
    <row r="97" spans="2:37" ht="18.75">
      <c r="B97" s="6"/>
      <c r="C97" s="6"/>
      <c r="R97" s="289" t="s">
        <v>795</v>
      </c>
      <c r="AI97" s="4">
        <v>97</v>
      </c>
      <c r="AJ97" s="89" t="s">
        <v>796</v>
      </c>
      <c r="AK97" s="4"/>
    </row>
    <row r="98" spans="2:37" ht="15">
      <c r="R98" s="289" t="s">
        <v>797</v>
      </c>
      <c r="AI98" s="4">
        <v>98</v>
      </c>
      <c r="AJ98" s="89" t="s">
        <v>798</v>
      </c>
      <c r="AK98" s="4"/>
    </row>
    <row r="99" spans="2:37" ht="18.75">
      <c r="B99" s="6"/>
      <c r="C99" s="6"/>
      <c r="R99" s="289" t="s">
        <v>799</v>
      </c>
      <c r="AI99" s="4">
        <v>99</v>
      </c>
      <c r="AJ99" s="89" t="s">
        <v>800</v>
      </c>
      <c r="AK99" s="4"/>
    </row>
    <row r="100" spans="2:37" ht="15">
      <c r="R100" s="289" t="s">
        <v>801</v>
      </c>
      <c r="AI100" s="4">
        <v>100</v>
      </c>
      <c r="AJ100" s="89" t="s">
        <v>802</v>
      </c>
      <c r="AK100" s="4"/>
    </row>
    <row r="101" spans="2:37" ht="18.75">
      <c r="B101" s="6"/>
      <c r="C101" s="6"/>
      <c r="R101" s="289" t="s">
        <v>803</v>
      </c>
    </row>
    <row r="103" spans="2:37" ht="18.75">
      <c r="B103" s="6"/>
      <c r="C103" s="6"/>
    </row>
    <row r="105" spans="2:37" ht="18.75">
      <c r="B105" s="6"/>
      <c r="C105" s="6"/>
    </row>
    <row r="107" spans="2:37" ht="18.75">
      <c r="B107" s="6"/>
      <c r="C107" s="6"/>
    </row>
    <row r="109" spans="2:37" ht="18.75">
      <c r="B109" s="6"/>
      <c r="C109" s="6"/>
    </row>
    <row r="111" spans="2:37" ht="18.75">
      <c r="B111" s="6"/>
      <c r="C111" s="6"/>
    </row>
    <row r="113" spans="2:3" ht="18.75">
      <c r="B113" s="6"/>
      <c r="C113" s="6"/>
    </row>
    <row r="115" spans="2:3" ht="18.75">
      <c r="B115" s="6"/>
      <c r="C115" s="6"/>
    </row>
    <row r="117" spans="2:3" ht="18.75">
      <c r="B117" s="6"/>
      <c r="C117" s="6"/>
    </row>
    <row r="119" spans="2:3" ht="18.75">
      <c r="B119" s="6"/>
      <c r="C119" s="6"/>
    </row>
    <row r="121" spans="2:3" ht="18.75">
      <c r="B121" s="6"/>
      <c r="C121" s="6"/>
    </row>
  </sheetData>
  <sortState ref="A4:C47">
    <sortCondition ref="A4:A47"/>
  </sortState>
  <dataValidations disablePrompts="1" count="1">
    <dataValidation type="list" allowBlank="1" showInputMessage="1" showErrorMessage="1" sqref="G53" xr:uid="{00000000-0002-0000-0500-000000000000}">
      <formula1>$G$60:$G$61</formula1>
    </dataValidation>
  </dataValidations>
  <pageMargins left="0.7" right="0.7" top="0.75" bottom="0.75" header="0.3" footer="0.3"/>
  <pageSetup paperSize="9" orientation="portrait"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f089171f-9a62-46ba-b25a-510fcfdc944d">LEGDHKNZFHQE-17-21306</_dlc_DocId>
    <_dlc_DocIdUrl xmlns="f089171f-9a62-46ba-b25a-510fcfdc944d">
      <Url>https://sharepoint/Legal/_layouts/15/DocIdRedir.aspx?ID=LEGDHKNZFHQE-17-21306</Url>
      <Description>LEGDHKNZFHQE-17-21306</Description>
    </_dlc_DocIdUrl>
    <_x041a__x043e__x043c__x043c__x0435__x043d__x0442__x0430__x0440__x0438__x0438_ xmlns="06e9fca7-566a-4355-bf4a-5bc3b8501c3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Документ" ma:contentTypeID="0x0101005212DEAE588D5D4BAA760B5078F8715D" ma:contentTypeVersion="1" ma:contentTypeDescription="Создание документа." ma:contentTypeScope="" ma:versionID="4bb186040b0d81a4ce54b94dfb03b7f9">
  <xsd:schema xmlns:xsd="http://www.w3.org/2001/XMLSchema" xmlns:xs="http://www.w3.org/2001/XMLSchema" xmlns:p="http://schemas.microsoft.com/office/2006/metadata/properties" xmlns:ns2="f089171f-9a62-46ba-b25a-510fcfdc944d" xmlns:ns3="06e9fca7-566a-4355-bf4a-5bc3b8501c30" targetNamespace="http://schemas.microsoft.com/office/2006/metadata/properties" ma:root="true" ma:fieldsID="8a7442e5b75d31489effc0e4cc8ab497" ns2:_="" ns3:_="">
    <xsd:import namespace="f089171f-9a62-46ba-b25a-510fcfdc944d"/>
    <xsd:import namespace="06e9fca7-566a-4355-bf4a-5bc3b8501c30"/>
    <xsd:element name="properties">
      <xsd:complexType>
        <xsd:sequence>
          <xsd:element name="documentManagement">
            <xsd:complexType>
              <xsd:all>
                <xsd:element ref="ns2:_dlc_DocId" minOccurs="0"/>
                <xsd:element ref="ns2:_dlc_DocIdUrl" minOccurs="0"/>
                <xsd:element ref="ns2:_dlc_DocIdPersistId" minOccurs="0"/>
                <xsd:element ref="ns3:_x041a__x043e__x043c__x043c__x0435__x043d__x0442__x0430__x0440__x0438__x0438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89171f-9a62-46ba-b25a-510fcfdc944d" elementFormDefault="qualified">
    <xsd:import namespace="http://schemas.microsoft.com/office/2006/documentManagement/types"/>
    <xsd:import namespace="http://schemas.microsoft.com/office/infopath/2007/PartnerControls"/>
    <xsd:element name="_dlc_DocId" ma:index="8" nillable="true" ma:displayName="Значение идентификатора документа" ma:description="Значение идентификатора документа, присвоенного данному элементу." ma:internalName="_dlc_DocId" ma:readOnly="true">
      <xsd:simpleType>
        <xsd:restriction base="dms:Text"/>
      </xsd:simpleType>
    </xsd:element>
    <xsd:element name="_dlc_DocIdUrl" ma:index="9" nillable="true" ma:displayName="Идентификатор документа" ma:description="Постоянная ссылка на этот документ."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Сохранить идентификатор" ma:description="Сохранять идентификатор при добавлении."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06e9fca7-566a-4355-bf4a-5bc3b8501c30" elementFormDefault="qualified">
    <xsd:import namespace="http://schemas.microsoft.com/office/2006/documentManagement/types"/>
    <xsd:import namespace="http://schemas.microsoft.com/office/infopath/2007/PartnerControls"/>
    <xsd:element name="_x041a__x043e__x043c__x043c__x0435__x043d__x0442__x0430__x0440__x0438__x0438_" ma:index="11" nillable="true" ma:displayName="Комментарии" ma:internalName="_x041a__x043e__x043c__x043c__x0435__x043d__x0442__x0430__x0440__x0438__x0438_">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1684D2-0104-4AB2-AA34-9BBCA39A3DA9}"/>
</file>

<file path=customXml/itemProps2.xml><?xml version="1.0" encoding="utf-8"?>
<ds:datastoreItem xmlns:ds="http://schemas.openxmlformats.org/officeDocument/2006/customXml" ds:itemID="{4AFD2E55-04C6-40D5-8040-E1546E0FF6ED}"/>
</file>

<file path=customXml/itemProps3.xml><?xml version="1.0" encoding="utf-8"?>
<ds:datastoreItem xmlns:ds="http://schemas.openxmlformats.org/officeDocument/2006/customXml" ds:itemID="{3CBBD39E-A0B1-4E49-9D66-0B4D5A943B15}"/>
</file>

<file path=customXml/itemProps4.xml><?xml version="1.0" encoding="utf-8"?>
<ds:datastoreItem xmlns:ds="http://schemas.openxmlformats.org/officeDocument/2006/customXml" ds:itemID="{61085BDD-D729-41DA-B3B0-81B7882DD63A}"/>
</file>

<file path=docProps/app.xml><?xml version="1.0" encoding="utf-8"?>
<Properties xmlns="http://schemas.openxmlformats.org/officeDocument/2006/extended-properties" xmlns:vt="http://schemas.openxmlformats.org/officeDocument/2006/docPropsVTypes">
  <Application>Microsoft Excel Online</Application>
  <Manager/>
  <Company>СИБУР</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Пугачева Ольга Викторовна</dc:creator>
  <cp:keywords/>
  <dc:description/>
  <cp:lastModifiedBy>Дурыничева Юлия Юрьевна</cp:lastModifiedBy>
  <cp:revision/>
  <dcterms:created xsi:type="dcterms:W3CDTF">2000-11-13T10:25:58Z</dcterms:created>
  <dcterms:modified xsi:type="dcterms:W3CDTF">2024-11-26T10:56:20Z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0x0101005212DEAE588D5D4BAA760B5078F8715D</vt:lpwstr>
  </property>
  <property fmtid="{D5CDD505-2E9C-101B-9397-08002B2CF9AE}" pid="3" name="_dlc_DocIdItemGuid">
    <vt:lpwstr>f2001caa-f4e6-4ee2-b868-b8deaf6c177c</vt:lpwstr>
  </property>
</Properties>
</file>