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TolchenkinaVA\Desktop\2600112641 Электродвигатели\Опрос рынка повторный от 19.03.26\Для размещения\"/>
    </mc:Choice>
  </mc:AlternateContent>
  <bookViews>
    <workbookView xWindow="720" yWindow="1065" windowWidth="18315" windowHeight="12570"/>
  </bookViews>
  <sheets>
    <sheet name="Комм часть оферты" sheetId="4" r:id="rId1"/>
  </sheets>
  <definedNames>
    <definedName name="_xlnm._FilterDatabase" localSheetId="0" hidden="1">'Комм часть оферты'!$A$16:$AB$28</definedName>
    <definedName name="_xlnm.Print_Area" localSheetId="0">'Комм часть оферты'!$A$2:$M$39</definedName>
  </definedNames>
  <calcPr calcId="162913"/>
</workbook>
</file>

<file path=xl/calcChain.xml><?xml version="1.0" encoding="utf-8"?>
<calcChain xmlns="http://schemas.openxmlformats.org/spreadsheetml/2006/main">
  <c r="I28" i="4" l="1"/>
  <c r="B16" i="4" l="1"/>
  <c r="C16" i="4" s="1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</calcChain>
</file>

<file path=xl/sharedStrings.xml><?xml version="1.0" encoding="utf-8"?>
<sst xmlns="http://schemas.openxmlformats.org/spreadsheetml/2006/main" count="219" uniqueCount="114">
  <si>
    <t>Ед. изм.</t>
  </si>
  <si>
    <t>Кол-во</t>
  </si>
  <si>
    <t>Примечание</t>
  </si>
  <si>
    <t>Потребность:</t>
  </si>
  <si>
    <t>Наименование участника:</t>
  </si>
  <si>
    <t>ИНН</t>
  </si>
  <si>
    <t>&lt;---- Обязательное поле для заполнения</t>
  </si>
  <si>
    <t>ID:</t>
  </si>
  <si>
    <t>Заказчик</t>
  </si>
  <si>
    <t>Станция назначения, код станции назначения</t>
  </si>
  <si>
    <t>Коммерческое предложение (при заполнении не разрешается удалять столбцы, строки и вносить иные изменения в форму спецификации)</t>
  </si>
  <si>
    <t>Предложение участника закупки</t>
  </si>
  <si>
    <t>Наименование Товара</t>
  </si>
  <si>
    <t>Валюта закупки:</t>
  </si>
  <si>
    <t>НДС закупки:</t>
  </si>
  <si>
    <t>В стоимость включено</t>
  </si>
  <si>
    <t>Полное наименование и основные технические характеристики предлагаемой к поставке продукции</t>
  </si>
  <si>
    <t>Цена доставки за единицу, руб., с НДС</t>
  </si>
  <si>
    <t>Наценка посредника (если применимо) в расчете на одну единицу, руб., с НДС</t>
  </si>
  <si>
    <t>Стоимость страхования (если применимо) в расчете на одну единицу, руб., с НДС</t>
  </si>
  <si>
    <t>Стоимость таможенного оформления (если применимо) в расчете на одну единицу, руб. с НДС</t>
  </si>
  <si>
    <t>Цена за единицу без учета доставки, руб., с НДС (на базисе EXW)</t>
  </si>
  <si>
    <t>Цена за единицу, с учетом изготовления,  доставки, наценки посредника, страхования, руб., с НДС (на базисе DAP)</t>
  </si>
  <si>
    <t xml:space="preserve">ИТОГО </t>
  </si>
  <si>
    <t>Срок поставки в соответсии с производственной программой</t>
  </si>
  <si>
    <t>Дополнительные требования</t>
  </si>
  <si>
    <t>Цена за единицу, с учетом изготовления,  доставки, наценки посредника, страхования, руб., с НДС (на базисе DDP)</t>
  </si>
  <si>
    <t>№ п/п лота</t>
  </si>
  <si>
    <t>Дни календарные (указать количество)</t>
  </si>
  <si>
    <t>№ материала</t>
  </si>
  <si>
    <t>Итого цена за единициу с учетом провдеения ШМР/ПНР, обучения. изготовления, доставки, наценки, страхования (на базисе DDP)
Руб. с НДС</t>
  </si>
  <si>
    <t>Стоимость ШМР  за единицу, руб., с НДС (если требуется по условиям тех.документации)</t>
  </si>
  <si>
    <t>Стоимость ПНР за единицу, руб., с НДС (если требуется по условиям тех.документации)</t>
  </si>
  <si>
    <t>Сумма с учетом изготовления, доставки, наценки посредника, страхования, таможенного оформления, испытаний, ШМР, ПНР, обучения руб., с НДС (на базисе DDP)</t>
  </si>
  <si>
    <t>Стоимость обучения ПНР за единицу, руб., с НДС (если требуется по условиям тех.документации)</t>
  </si>
  <si>
    <t>Срок поставки в календарных днях с даты заключения договора</t>
  </si>
  <si>
    <t>В течение</t>
  </si>
  <si>
    <t>календарных дней</t>
  </si>
  <si>
    <t>Курс валют установить как курс ЦБ РФ на дату вскрытия конвертов.
Национальная валюта РФ (рубль) является основной и должна быть использована при подаче предложений резидентами РФ, а также нерезидентами, при подаче предложений на товары российского происхождения.
Национальная валюта РФ (рубль) рекомендована в качестве приоритетной валюты для подачи предложений на товары иностранного производства как резидентам, так и нерезидентам .
Предусмотрена подача альтернативного предложения в валюте с предоставлением объективного обоснования:(п.13 Информационной карты ДОЗП)
В случае получения от участника объективного обоснования невозможности подачи предложения (заключения договора) в рублях допускается заключение договора в валюте дружественных стран и оплатой по договору:
- резидентам в российских рублях (по курсу ЦБ РФ на дату оплаты);
- нерезидентам в российских рублях (по курсу ЦБ РФ на дату оплаты).
В случае получения от участника объективного обоснования невозможности подачи предложения (заключения договора) в рублях или в иностранной валюте дружественных стран- допускается подача заявки (заключение договора) на поставку товаров, место производства которых является территория недружественных стран (в т.ч. при «параллельном импорте») в валюте недружественных стран.</t>
  </si>
  <si>
    <t>Юридический адрес</t>
  </si>
  <si>
    <t>Фактический адрес</t>
  </si>
  <si>
    <t>Генеральный директор (Управляющий)</t>
  </si>
  <si>
    <t>номер тел. (факс) приемной, E-mail:</t>
  </si>
  <si>
    <t>Контактное лицо: ФИО, Должность</t>
  </si>
  <si>
    <t>номер тел. (факс) контактного лица, E-mail:</t>
  </si>
  <si>
    <t>Опцион</t>
  </si>
  <si>
    <t>Не предусмотрен</t>
  </si>
  <si>
    <t xml:space="preserve">Условия оплаты (полностью, с указанием событий оплаты) </t>
  </si>
  <si>
    <t>Альтернативные условия оплаты для контрагентов, зарегистрированных в соответствии с законодательством иностранных государств, в связи с рисками, обусловленными внешними ограничениями</t>
  </si>
  <si>
    <t>Оплата по факту поставки МТР в течение 30 календарных дней (верхняя граница), но не ранее, чем через 15 календарных дней (нижняя граница) после окончания обязательств по поставке товара, выполнения работ, оказания услуг и получения покупателем первичных (отгрузочных) документов.</t>
  </si>
  <si>
    <t>Базис поставки в терминах ИНКОТЕРМС 2013</t>
  </si>
  <si>
    <t>DDP Рязань</t>
  </si>
  <si>
    <t>С коммерческим предложением предъявлено</t>
  </si>
  <si>
    <t xml:space="preserve">Предоставлен: Сертификат соответствия, паспорт качества, технические условия  </t>
  </si>
  <si>
    <t xml:space="preserve">Срок действия оферты </t>
  </si>
  <si>
    <t>Срок предоставления рабочей конструкторской документации для согласования с Заказчиком (необходимой для проектирования)</t>
  </si>
  <si>
    <t>30 календарных дней с даты направления разнарядки</t>
  </si>
  <si>
    <t>Договор по форме  АО "РНПК"</t>
  </si>
  <si>
    <t>Заполняется Претендентом</t>
  </si>
  <si>
    <t>Должность уполномоченного руководителя Участника</t>
  </si>
  <si>
    <t>подпись</t>
  </si>
  <si>
    <t>МП</t>
  </si>
  <si>
    <t>Не изменяемые поля</t>
  </si>
  <si>
    <t>Заполняется Организатором тендера</t>
  </si>
  <si>
    <t xml:space="preserve">Заливка цветом приведена в информационных целях. 
При подготовке коммерческого предложения, претенденту рекомендуется убрать заливку цветом и отформатировать лист до размера А4 либо А3 (1 страница в ширину) </t>
  </si>
  <si>
    <t>Преприятие - изготовитель продукции/страна</t>
  </si>
  <si>
    <t>Калькуляция</t>
  </si>
  <si>
    <r>
      <t>Имеется (с кем, номер договора)/не имеется,</t>
    </r>
    <r>
      <rPr>
        <b/>
        <u/>
        <sz val="12"/>
        <rFont val="Times New Roman"/>
        <family val="1"/>
        <charset val="204"/>
      </rPr>
      <t xml:space="preserve"> готов/не готов заключить </t>
    </r>
    <r>
      <rPr>
        <sz val="12"/>
        <rFont val="Times New Roman"/>
        <family val="1"/>
        <charset val="204"/>
      </rPr>
      <t>(причины и разногласия к договору) (УКАЗАТЬ)</t>
    </r>
  </si>
  <si>
    <r>
      <t>Настоящая оферта направлена в адрес</t>
    </r>
    <r>
      <rPr>
        <sz val="12"/>
        <color rgb="FFFF0000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Заказчика и может быть акцептована каждым из них в любой ее части.</t>
    </r>
  </si>
  <si>
    <t>Минимальная стоимость предложения</t>
  </si>
  <si>
    <t>Указать причину не предоставления информации</t>
  </si>
  <si>
    <t>Обязательно для заполнения</t>
  </si>
  <si>
    <t>ОЛ/ТТ/МУК</t>
  </si>
  <si>
    <t>Не менее 120 рабочих дней с даты окончания срока подачи коммерческой части заявок</t>
  </si>
  <si>
    <t>Цена за единицу, руб., без НДС</t>
  </si>
  <si>
    <t>Необходимо заполнить колонки с  15 по 27. В случае не заполнения колонок необходимо указать причину не предоставления информации</t>
  </si>
  <si>
    <t>Оплата по факту, не ранее, чем через 45 календарных дней после исполнения обязательств по поставке товара (выполнения работ, оказания услуг) и получения покупателем первичных (отгрузочных) документов, не более 70 календарных дней;</t>
  </si>
  <si>
    <t>1852451</t>
  </si>
  <si>
    <t>Эл.дв. EKO85-2S-L16 0,82/5000-7000</t>
  </si>
  <si>
    <t>ИМПОРТ</t>
  </si>
  <si>
    <t>-</t>
  </si>
  <si>
    <t>АО "РНПК"</t>
  </si>
  <si>
    <t>Рязань</t>
  </si>
  <si>
    <t>ШТ</t>
  </si>
  <si>
    <t>KFK120401020001</t>
  </si>
  <si>
    <t>Электродвигатель до 100кВт включ.</t>
  </si>
  <si>
    <t>NOL100599260_000000001</t>
  </si>
  <si>
    <t>KFK120401030001</t>
  </si>
  <si>
    <t>Электродвигатель св.100кВт</t>
  </si>
  <si>
    <t>NOL100525192_000000001</t>
  </si>
  <si>
    <t>KFK120401980002</t>
  </si>
  <si>
    <t>ЗИП для электродвигателей</t>
  </si>
  <si>
    <t>NOL100531117_000000001</t>
  </si>
  <si>
    <t>NOL100531119_000000001</t>
  </si>
  <si>
    <t>SGM120204000195</t>
  </si>
  <si>
    <t>ЭДА0,55/1-380ДУ-С0-У-3-В-К0-Т0</t>
  </si>
  <si>
    <t>П4-06.03 ТОЛ-0127-V0100П4-06.03 ТОЛ-0127-V0100</t>
  </si>
  <si>
    <t>NOL100587035_000000001</t>
  </si>
  <si>
    <t>SGM120204000601</t>
  </si>
  <si>
    <t>ЭДА7,5/3-380ДУ-С0-УХЛ-3-В-К0-Т0</t>
  </si>
  <si>
    <t>П4-06.03 ТОЛ-0127-V0100</t>
  </si>
  <si>
    <t>SGM120204000811</t>
  </si>
  <si>
    <t>ЭДА18,5/1-380ДУ-С0-У-2-В-К1-Т1</t>
  </si>
  <si>
    <t>SGM120204000813</t>
  </si>
  <si>
    <t>ЭДА75/1-380ДУ-С0-У-3-О-К0-Т1</t>
  </si>
  <si>
    <t>NOL100587036_000000001</t>
  </si>
  <si>
    <t>SGM120204000981</t>
  </si>
  <si>
    <t>ЭДА315/4-6000У-С0-УХЛ-1-В-К1-Т1</t>
  </si>
  <si>
    <t>NOL100576960_000000001</t>
  </si>
  <si>
    <t>NOL100576962_000000001</t>
  </si>
  <si>
    <t>Электродвигатели, лот 2600125282</t>
  </si>
  <si>
    <t>Изготовление, тара, доставка, разработка РКД</t>
  </si>
  <si>
    <t xml:space="preserve">Сведения о сроках поставки с даты заключения договора </t>
  </si>
  <si>
    <t>не требуется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</si>
</sst>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\-??_р_._-;_-@_-"/>
    <numFmt numFmtId="166" formatCode="[$-419]mmmm\ yyyy;@"/>
  </numFmts>
  <fonts count="23" x14ac:knownFonts="1">
    <font>
      <sz val="10"/>
      <name val="Arial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8"/>
      <name val="Arial"/>
      <family val="2"/>
    </font>
    <font>
      <b/>
      <sz val="10"/>
      <name val="Arial"/>
      <family val="2"/>
      <charset val="204"/>
    </font>
    <font>
      <sz val="10"/>
      <color indexed="8"/>
      <name val="Arial"/>
      <family val="2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sz val="8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Arial Cyr"/>
      <charset val="204"/>
    </font>
    <font>
      <sz val="12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41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D9D9D9"/>
      </patternFill>
    </fill>
  </fills>
  <borders count="13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" fontId="5" fillId="3" borderId="1" applyNumberFormat="0" applyProtection="0">
      <alignment horizontal="right" vertical="center"/>
    </xf>
    <xf numFmtId="4" fontId="3" fillId="2" borderId="2" applyNumberFormat="0" applyProtection="0">
      <alignment horizontal="left" vertical="center" indent="1"/>
    </xf>
    <xf numFmtId="0" fontId="2" fillId="0" borderId="0"/>
    <xf numFmtId="0" fontId="6" fillId="0" borderId="0"/>
  </cellStyleXfs>
  <cellXfs count="10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3" fontId="1" fillId="5" borderId="3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4" fontId="1" fillId="6" borderId="3" xfId="0" applyNumberFormat="1" applyFont="1" applyFill="1" applyBorder="1" applyAlignment="1" applyProtection="1">
      <alignment horizontal="center" vertical="top"/>
      <protection locked="0"/>
    </xf>
    <xf numFmtId="4" fontId="1" fillId="6" borderId="3" xfId="0" applyNumberFormat="1" applyFont="1" applyFill="1" applyBorder="1" applyAlignment="1" applyProtection="1">
      <alignment horizontal="center" vertical="center"/>
      <protection locked="0"/>
    </xf>
    <xf numFmtId="49" fontId="1" fillId="6" borderId="3" xfId="0" applyNumberFormat="1" applyFont="1" applyFill="1" applyBorder="1" applyAlignment="1" applyProtection="1">
      <alignment horizontal="left" vertical="top" wrapText="1"/>
      <protection locked="0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top" wrapText="1"/>
    </xf>
    <xf numFmtId="3" fontId="1" fillId="7" borderId="3" xfId="0" applyNumberFormat="1" applyFont="1" applyFill="1" applyBorder="1" applyAlignment="1">
      <alignment horizontal="center" vertical="center" wrapText="1"/>
    </xf>
    <xf numFmtId="3" fontId="1" fillId="5" borderId="3" xfId="0" applyNumberFormat="1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vertical="center"/>
    </xf>
    <xf numFmtId="3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distributed"/>
    </xf>
    <xf numFmtId="0" fontId="1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/>
    </xf>
    <xf numFmtId="164" fontId="1" fillId="8" borderId="3" xfId="0" applyNumberFormat="1" applyFont="1" applyFill="1" applyBorder="1" applyAlignment="1" applyProtection="1">
      <alignment horizontal="right" vertical="center"/>
    </xf>
    <xf numFmtId="164" fontId="1" fillId="8" borderId="3" xfId="0" applyNumberFormat="1" applyFont="1" applyFill="1" applyBorder="1" applyAlignment="1" applyProtection="1">
      <alignment vertical="center" wrapText="1"/>
    </xf>
    <xf numFmtId="0" fontId="10" fillId="0" borderId="0" xfId="0" applyFont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</xf>
    <xf numFmtId="0" fontId="1" fillId="0" borderId="0" xfId="0" applyFont="1" applyBorder="1" applyProtection="1"/>
    <xf numFmtId="0" fontId="1" fillId="0" borderId="0" xfId="0" applyFont="1" applyProtection="1"/>
    <xf numFmtId="0" fontId="12" fillId="0" borderId="0" xfId="0" applyFont="1" applyAlignment="1">
      <alignment horizontal="center" vertical="center"/>
    </xf>
    <xf numFmtId="0" fontId="1" fillId="0" borderId="0" xfId="0" applyFont="1"/>
    <xf numFmtId="0" fontId="1" fillId="4" borderId="3" xfId="0" applyFont="1" applyFill="1" applyBorder="1" applyAlignment="1">
      <alignment horizontal="right" vertical="center"/>
    </xf>
    <xf numFmtId="0" fontId="7" fillId="0" borderId="0" xfId="0" applyFont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0" fillId="0" borderId="0" xfId="0" applyAlignment="1" applyProtection="1">
      <alignment vertical="center" wrapText="1"/>
    </xf>
    <xf numFmtId="0" fontId="7" fillId="11" borderId="0" xfId="0" applyFont="1" applyFill="1" applyBorder="1" applyAlignment="1" applyProtection="1">
      <alignment horizontal="center" vertical="top"/>
    </xf>
    <xf numFmtId="0" fontId="14" fillId="0" borderId="0" xfId="0" applyFont="1" applyAlignment="1" applyProtection="1">
      <alignment horizontal="left" vertical="center"/>
    </xf>
    <xf numFmtId="0" fontId="17" fillId="0" borderId="0" xfId="0" applyFont="1" applyAlignment="1" applyProtection="1">
      <alignment horizontal="right" vertical="center" wrapText="1"/>
    </xf>
    <xf numFmtId="0" fontId="17" fillId="0" borderId="0" xfId="0" applyFont="1" applyAlignment="1" applyProtection="1">
      <alignment horizontal="right" vertical="center"/>
    </xf>
    <xf numFmtId="0" fontId="7" fillId="0" borderId="0" xfId="0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left" vertical="center"/>
    </xf>
    <xf numFmtId="0" fontId="15" fillId="0" borderId="0" xfId="0" applyFont="1" applyFill="1" applyAlignment="1" applyProtection="1">
      <alignment horizontal="right" vertical="center"/>
    </xf>
    <xf numFmtId="2" fontId="1" fillId="5" borderId="3" xfId="0" applyNumberFormat="1" applyFont="1" applyFill="1" applyBorder="1" applyAlignment="1">
      <alignment horizontal="center" vertical="top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11" borderId="0" xfId="0" applyNumberFormat="1" applyFont="1" applyFill="1" applyBorder="1" applyAlignment="1" applyProtection="1">
      <alignment horizontal="left" vertical="top"/>
    </xf>
    <xf numFmtId="9" fontId="13" fillId="9" borderId="4" xfId="0" applyNumberFormat="1" applyFont="1" applyFill="1" applyBorder="1" applyAlignment="1" applyProtection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4" fontId="1" fillId="0" borderId="3" xfId="0" applyNumberFormat="1" applyFont="1" applyFill="1" applyBorder="1" applyAlignment="1" applyProtection="1">
      <alignment horizontal="center" vertical="top"/>
      <protection locked="0"/>
    </xf>
    <xf numFmtId="49" fontId="1" fillId="0" borderId="3" xfId="0" applyNumberFormat="1" applyFont="1" applyFill="1" applyBorder="1" applyAlignment="1" applyProtection="1">
      <alignment horizontal="left" vertical="top" wrapText="1"/>
      <protection locked="0"/>
    </xf>
    <xf numFmtId="3" fontId="1" fillId="5" borderId="11" xfId="0" applyNumberFormat="1" applyFont="1" applyFill="1" applyBorder="1" applyAlignment="1">
      <alignment horizontal="left" vertical="center" wrapText="1"/>
    </xf>
    <xf numFmtId="0" fontId="16" fillId="11" borderId="0" xfId="0" applyFont="1" applyFill="1" applyBorder="1" applyAlignment="1" applyProtection="1">
      <alignment horizontal="center" vertical="center" shrinkToFit="1"/>
    </xf>
    <xf numFmtId="0" fontId="7" fillId="9" borderId="0" xfId="0" applyFont="1" applyFill="1" applyBorder="1" applyAlignment="1" applyProtection="1">
      <alignment horizontal="left" vertical="top" wrapText="1"/>
    </xf>
    <xf numFmtId="4" fontId="1" fillId="0" borderId="12" xfId="0" applyNumberFormat="1" applyFont="1" applyFill="1" applyBorder="1" applyAlignment="1" applyProtection="1">
      <alignment horizontal="center" vertical="top"/>
      <protection locked="0"/>
    </xf>
    <xf numFmtId="0" fontId="1" fillId="0" borderId="12" xfId="0" applyFont="1" applyBorder="1" applyAlignment="1">
      <alignment horizontal="center" vertical="top"/>
    </xf>
    <xf numFmtId="49" fontId="1" fillId="11" borderId="11" xfId="0" applyNumberFormat="1" applyFont="1" applyFill="1" applyBorder="1" applyAlignment="1" applyProtection="1">
      <alignment horizontal="left" vertical="top"/>
    </xf>
    <xf numFmtId="49" fontId="1" fillId="11" borderId="10" xfId="0" applyNumberFormat="1" applyFont="1" applyFill="1" applyBorder="1" applyAlignment="1" applyProtection="1">
      <alignment horizontal="left" vertical="top"/>
    </xf>
    <xf numFmtId="0" fontId="1" fillId="4" borderId="0" xfId="0" applyFont="1" applyFill="1" applyAlignment="1">
      <alignment vertical="center"/>
    </xf>
    <xf numFmtId="0" fontId="4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4" borderId="0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9" fontId="19" fillId="8" borderId="12" xfId="0" applyNumberFormat="1" applyFont="1" applyFill="1" applyBorder="1" applyAlignment="1" applyProtection="1">
      <alignment horizontal="left" vertical="top" wrapText="1"/>
    </xf>
    <xf numFmtId="0" fontId="19" fillId="8" borderId="12" xfId="0" applyFont="1" applyFill="1" applyBorder="1" applyAlignment="1" applyProtection="1">
      <alignment horizontal="left" vertical="top" wrapText="1"/>
    </xf>
    <xf numFmtId="0" fontId="9" fillId="11" borderId="12" xfId="0" applyFont="1" applyFill="1" applyBorder="1" applyAlignment="1" applyProtection="1">
      <alignment horizontal="left" vertical="top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 applyProtection="1">
      <alignment horizontal="left" vertical="top" wrapText="1"/>
    </xf>
    <xf numFmtId="0" fontId="20" fillId="9" borderId="6" xfId="0" applyFont="1" applyFill="1" applyBorder="1" applyAlignment="1" applyProtection="1">
      <alignment horizontal="left" vertical="top" wrapText="1"/>
    </xf>
    <xf numFmtId="0" fontId="20" fillId="9" borderId="10" xfId="0" applyFont="1" applyFill="1" applyBorder="1" applyAlignment="1" applyProtection="1">
      <alignment horizontal="left" vertical="top" wrapText="1"/>
    </xf>
    <xf numFmtId="0" fontId="8" fillId="9" borderId="12" xfId="0" applyFont="1" applyFill="1" applyBorder="1" applyAlignment="1" applyProtection="1">
      <alignment horizontal="center" vertical="center" wrapText="1"/>
    </xf>
    <xf numFmtId="0" fontId="1" fillId="5" borderId="12" xfId="0" applyFont="1" applyFill="1" applyBorder="1" applyAlignment="1">
      <alignment horizontal="left" vertical="top" wrapText="1"/>
    </xf>
    <xf numFmtId="0" fontId="9" fillId="4" borderId="12" xfId="0" applyFont="1" applyFill="1" applyBorder="1" applyAlignment="1">
      <alignment horizontal="left" vertical="top" wrapText="1"/>
    </xf>
    <xf numFmtId="0" fontId="7" fillId="11" borderId="0" xfId="0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right" vertical="center" wrapText="1"/>
    </xf>
    <xf numFmtId="0" fontId="18" fillId="0" borderId="0" xfId="0" applyFont="1" applyBorder="1" applyAlignment="1" applyProtection="1">
      <alignment horizontal="left" vertical="center" wrapText="1"/>
    </xf>
    <xf numFmtId="0" fontId="11" fillId="0" borderId="0" xfId="0" applyFont="1" applyAlignment="1" applyProtection="1">
      <alignment horizontal="left" vertical="top" wrapText="1"/>
    </xf>
    <xf numFmtId="0" fontId="7" fillId="8" borderId="0" xfId="0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left" vertical="center"/>
    </xf>
    <xf numFmtId="0" fontId="7" fillId="9" borderId="0" xfId="0" applyFont="1" applyFill="1" applyBorder="1" applyAlignment="1" applyProtection="1">
      <alignment horizontal="center" vertical="center"/>
    </xf>
    <xf numFmtId="0" fontId="16" fillId="11" borderId="0" xfId="0" applyFont="1" applyFill="1" applyBorder="1" applyAlignment="1" applyProtection="1">
      <alignment horizontal="center" vertical="center" shrinkToFit="1"/>
    </xf>
    <xf numFmtId="0" fontId="16" fillId="10" borderId="0" xfId="0" applyFont="1" applyFill="1" applyBorder="1" applyAlignment="1" applyProtection="1">
      <alignment horizontal="center" vertical="center"/>
    </xf>
    <xf numFmtId="0" fontId="16" fillId="11" borderId="0" xfId="0" applyFont="1" applyFill="1" applyBorder="1" applyAlignment="1" applyProtection="1">
      <alignment horizontal="center" vertical="center"/>
    </xf>
    <xf numFmtId="0" fontId="7" fillId="9" borderId="0" xfId="0" applyFont="1" applyFill="1" applyBorder="1" applyAlignment="1" applyProtection="1">
      <alignment horizontal="left" vertical="top" wrapText="1"/>
    </xf>
    <xf numFmtId="0" fontId="20" fillId="0" borderId="11" xfId="0" applyFont="1" applyFill="1" applyBorder="1" applyAlignment="1" applyProtection="1">
      <alignment horizontal="left" vertical="top" wrapText="1"/>
    </xf>
    <xf numFmtId="0" fontId="20" fillId="0" borderId="6" xfId="0" applyFont="1" applyFill="1" applyBorder="1" applyAlignment="1" applyProtection="1">
      <alignment horizontal="left" vertical="top" wrapText="1"/>
    </xf>
    <xf numFmtId="0" fontId="20" fillId="0" borderId="10" xfId="0" applyFont="1" applyFill="1" applyBorder="1" applyAlignment="1" applyProtection="1">
      <alignment horizontal="left" vertical="top" wrapText="1"/>
    </xf>
    <xf numFmtId="166" fontId="1" fillId="5" borderId="3" xfId="0" applyNumberFormat="1" applyFont="1" applyFill="1" applyBorder="1" applyAlignment="1">
      <alignment horizontal="center" vertical="center"/>
    </xf>
  </cellXfs>
  <cellStyles count="5">
    <cellStyle name="SAPBEXstdData" xfId="1"/>
    <cellStyle name="SAPBEXstdItem" xfId="2"/>
    <cellStyle name="Обычный" xfId="0" builtinId="0"/>
    <cellStyle name="Обычный 2" xfId="3"/>
    <cellStyle name="Обычный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KP49"/>
  <sheetViews>
    <sheetView tabSelected="1" topLeftCell="M16" zoomScale="90" zoomScaleNormal="90" zoomScaleSheetLayoutView="70" workbookViewId="0">
      <selection activeCell="T26" sqref="T26"/>
    </sheetView>
  </sheetViews>
  <sheetFormatPr defaultColWidth="8.85546875" defaultRowHeight="12.75" x14ac:dyDescent="0.2"/>
  <cols>
    <col min="1" max="1" width="5.5703125" style="22" customWidth="1"/>
    <col min="2" max="2" width="19.5703125" style="22" customWidth="1"/>
    <col min="3" max="3" width="33.7109375" style="22" customWidth="1"/>
    <col min="4" max="4" width="21.85546875" style="22" customWidth="1"/>
    <col min="5" max="5" width="17.5703125" style="22" customWidth="1"/>
    <col min="6" max="6" width="18.28515625" style="22" customWidth="1"/>
    <col min="7" max="7" width="9.28515625" style="22" customWidth="1"/>
    <col min="8" max="8" width="12.5703125" style="22" customWidth="1"/>
    <col min="9" max="9" width="21.5703125" style="22" customWidth="1"/>
    <col min="10" max="10" width="29.28515625" style="22" customWidth="1"/>
    <col min="11" max="11" width="11" style="22" customWidth="1"/>
    <col min="12" max="12" width="15.28515625" style="22" customWidth="1"/>
    <col min="13" max="13" width="21.5703125" style="22" bestFit="1" customWidth="1"/>
    <col min="14" max="14" width="16.85546875" style="22" customWidth="1"/>
    <col min="15" max="15" width="16.85546875" style="47" customWidth="1"/>
    <col min="16" max="26" width="16.85546875" style="22" customWidth="1"/>
    <col min="27" max="27" width="14.42578125" style="22" customWidth="1"/>
    <col min="28" max="28" width="13.5703125" style="22" customWidth="1"/>
    <col min="29" max="16384" width="8.85546875" style="22"/>
  </cols>
  <sheetData>
    <row r="1" spans="1:978" s="6" customFormat="1" ht="10.15" hidden="1" customHeight="1" x14ac:dyDescent="0.2">
      <c r="A1" s="7" t="s">
        <v>7</v>
      </c>
      <c r="B1" s="7"/>
      <c r="C1" s="7"/>
      <c r="D1" s="7"/>
    </row>
    <row r="2" spans="1:978" s="1" customFormat="1" ht="31.5" customHeight="1" x14ac:dyDescent="0.2">
      <c r="A2" s="60" t="s">
        <v>10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978" s="1" customFormat="1" ht="37.5" customHeight="1" x14ac:dyDescent="0.2">
      <c r="D3" s="65" t="s">
        <v>3</v>
      </c>
      <c r="E3" s="66"/>
      <c r="F3" s="61" t="s">
        <v>110</v>
      </c>
      <c r="G3" s="62"/>
      <c r="H3" s="62"/>
      <c r="I3" s="62"/>
      <c r="J3" s="62"/>
      <c r="K3" s="62"/>
      <c r="L3" s="62"/>
    </row>
    <row r="4" spans="1:978" s="2" customFormat="1" ht="31.5" customHeight="1" x14ac:dyDescent="0.2">
      <c r="D4" s="63" t="s">
        <v>4</v>
      </c>
      <c r="E4" s="64"/>
      <c r="F4" s="78"/>
      <c r="G4" s="79"/>
      <c r="H4" s="80"/>
      <c r="I4" s="24" t="s">
        <v>5</v>
      </c>
      <c r="J4" s="19"/>
      <c r="K4" s="76" t="s">
        <v>6</v>
      </c>
      <c r="L4" s="77"/>
    </row>
    <row r="5" spans="1:978" s="33" customFormat="1" ht="17.45" customHeight="1" x14ac:dyDescent="0.2">
      <c r="A5" s="28"/>
      <c r="B5" s="29"/>
      <c r="C5" s="29"/>
      <c r="D5" s="48" t="s">
        <v>39</v>
      </c>
      <c r="E5" s="48"/>
      <c r="F5" s="85"/>
      <c r="G5" s="85"/>
      <c r="H5" s="85"/>
      <c r="I5" s="85"/>
      <c r="J5" s="85"/>
      <c r="K5" s="85"/>
      <c r="L5" s="85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</row>
    <row r="6" spans="1:978" s="33" customFormat="1" ht="17.45" customHeight="1" x14ac:dyDescent="0.2">
      <c r="A6" s="28"/>
      <c r="B6" s="29"/>
      <c r="C6" s="29"/>
      <c r="D6" s="58" t="s">
        <v>40</v>
      </c>
      <c r="E6" s="59"/>
      <c r="F6" s="85"/>
      <c r="G6" s="85"/>
      <c r="H6" s="85"/>
      <c r="I6" s="85"/>
      <c r="J6" s="85"/>
      <c r="K6" s="85"/>
      <c r="L6" s="85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</row>
    <row r="7" spans="1:978" s="33" customFormat="1" ht="17.45" customHeight="1" x14ac:dyDescent="0.2">
      <c r="A7" s="28"/>
      <c r="B7" s="29"/>
      <c r="C7" s="29"/>
      <c r="D7" s="58" t="s">
        <v>41</v>
      </c>
      <c r="E7" s="59"/>
      <c r="F7" s="85"/>
      <c r="G7" s="85"/>
      <c r="H7" s="85"/>
      <c r="I7" s="85"/>
      <c r="J7" s="85"/>
      <c r="K7" s="85"/>
      <c r="L7" s="85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</row>
    <row r="8" spans="1:978" s="33" customFormat="1" ht="18" x14ac:dyDescent="0.2">
      <c r="A8" s="28"/>
      <c r="B8" s="29"/>
      <c r="C8" s="29"/>
      <c r="D8" s="58" t="s">
        <v>42</v>
      </c>
      <c r="E8" s="59"/>
      <c r="F8" s="85"/>
      <c r="G8" s="85"/>
      <c r="H8" s="85"/>
      <c r="I8" s="85"/>
      <c r="J8" s="85"/>
      <c r="K8" s="85"/>
      <c r="L8" s="85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</row>
    <row r="9" spans="1:978" s="33" customFormat="1" ht="17.45" customHeight="1" x14ac:dyDescent="0.2">
      <c r="A9" s="28"/>
      <c r="B9" s="29"/>
      <c r="C9" s="29"/>
      <c r="D9" s="58" t="s">
        <v>43</v>
      </c>
      <c r="E9" s="59"/>
      <c r="F9" s="85"/>
      <c r="G9" s="85"/>
      <c r="H9" s="85"/>
      <c r="I9" s="85"/>
      <c r="J9" s="85"/>
      <c r="K9" s="85"/>
      <c r="L9" s="85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</row>
    <row r="10" spans="1:978" s="33" customFormat="1" ht="18" x14ac:dyDescent="0.2">
      <c r="A10" s="28"/>
      <c r="B10" s="29"/>
      <c r="C10" s="29"/>
      <c r="D10" s="58" t="s">
        <v>44</v>
      </c>
      <c r="E10" s="59"/>
      <c r="F10" s="85"/>
      <c r="G10" s="85"/>
      <c r="H10" s="85"/>
      <c r="I10" s="85"/>
      <c r="J10" s="85"/>
      <c r="K10" s="85"/>
      <c r="L10" s="85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</row>
    <row r="11" spans="1:978" s="6" customFormat="1" ht="189.75" customHeight="1" x14ac:dyDescent="0.2">
      <c r="D11" s="34" t="s">
        <v>13</v>
      </c>
      <c r="E11" s="86" t="s">
        <v>38</v>
      </c>
      <c r="F11" s="86"/>
      <c r="G11" s="86"/>
      <c r="H11" s="86"/>
      <c r="I11" s="86"/>
      <c r="J11" s="86"/>
      <c r="K11" s="86"/>
      <c r="L11" s="86"/>
    </row>
    <row r="12" spans="1:978" s="6" customFormat="1" ht="31.5" customHeight="1" x14ac:dyDescent="0.2">
      <c r="D12" s="34" t="s">
        <v>14</v>
      </c>
      <c r="E12" s="49">
        <v>0.22</v>
      </c>
      <c r="F12" s="50"/>
      <c r="G12" s="50"/>
      <c r="H12" s="50"/>
      <c r="I12" s="50"/>
      <c r="J12" s="50"/>
      <c r="K12" s="5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978" x14ac:dyDescent="0.2">
      <c r="A13" s="8"/>
      <c r="B13" s="8"/>
      <c r="C13" s="8"/>
      <c r="D13" s="8"/>
    </row>
    <row r="14" spans="1:978" ht="46.5" customHeight="1" x14ac:dyDescent="0.2">
      <c r="A14" s="68" t="s">
        <v>27</v>
      </c>
      <c r="B14" s="68" t="s">
        <v>29</v>
      </c>
      <c r="C14" s="68" t="s">
        <v>12</v>
      </c>
      <c r="D14" s="68" t="s">
        <v>25</v>
      </c>
      <c r="E14" s="68" t="s">
        <v>72</v>
      </c>
      <c r="F14" s="68" t="s">
        <v>8</v>
      </c>
      <c r="G14" s="68" t="s">
        <v>9</v>
      </c>
      <c r="H14" s="68" t="s">
        <v>0</v>
      </c>
      <c r="I14" s="68" t="s">
        <v>1</v>
      </c>
      <c r="J14" s="68" t="s">
        <v>24</v>
      </c>
      <c r="K14" s="70" t="s">
        <v>11</v>
      </c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2"/>
      <c r="AC14" s="67" t="s">
        <v>2</v>
      </c>
    </row>
    <row r="15" spans="1:978" ht="177.75" customHeight="1" x14ac:dyDescent="0.2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23" t="s">
        <v>16</v>
      </c>
      <c r="L15" s="76" t="s">
        <v>35</v>
      </c>
      <c r="M15" s="77"/>
      <c r="N15" s="81"/>
      <c r="O15" s="23" t="s">
        <v>74</v>
      </c>
      <c r="P15" s="23" t="s">
        <v>21</v>
      </c>
      <c r="Q15" s="23" t="s">
        <v>17</v>
      </c>
      <c r="R15" s="23" t="s">
        <v>18</v>
      </c>
      <c r="S15" s="23" t="s">
        <v>19</v>
      </c>
      <c r="T15" s="23" t="s">
        <v>22</v>
      </c>
      <c r="U15" s="23" t="s">
        <v>20</v>
      </c>
      <c r="V15" s="23" t="s">
        <v>26</v>
      </c>
      <c r="W15" s="23" t="s">
        <v>31</v>
      </c>
      <c r="X15" s="23" t="s">
        <v>32</v>
      </c>
      <c r="Y15" s="23" t="s">
        <v>34</v>
      </c>
      <c r="Z15" s="23" t="s">
        <v>30</v>
      </c>
      <c r="AA15" s="23" t="s">
        <v>33</v>
      </c>
      <c r="AB15" s="23" t="s">
        <v>65</v>
      </c>
      <c r="AC15" s="67"/>
    </row>
    <row r="16" spans="1:978" s="9" customFormat="1" ht="13.5" customHeight="1" x14ac:dyDescent="0.2">
      <c r="A16" s="10">
        <v>1</v>
      </c>
      <c r="B16" s="10">
        <f>A16+1</f>
        <v>2</v>
      </c>
      <c r="C16" s="10">
        <f t="shared" ref="C16" si="0">B16+1</f>
        <v>3</v>
      </c>
      <c r="D16" s="10">
        <f t="shared" ref="D16" si="1">C16+1</f>
        <v>4</v>
      </c>
      <c r="E16" s="10">
        <f t="shared" ref="E16" si="2">D16+1</f>
        <v>5</v>
      </c>
      <c r="F16" s="10">
        <f t="shared" ref="F16" si="3">E16+1</f>
        <v>6</v>
      </c>
      <c r="G16" s="10">
        <f t="shared" ref="G16" si="4">F16+1</f>
        <v>7</v>
      </c>
      <c r="H16" s="10">
        <f t="shared" ref="H16" si="5">G16+1</f>
        <v>8</v>
      </c>
      <c r="I16" s="10">
        <f t="shared" ref="I16" si="6">H16+1</f>
        <v>9</v>
      </c>
      <c r="J16" s="10">
        <f t="shared" ref="J16" si="7">I16+1</f>
        <v>10</v>
      </c>
      <c r="K16" s="10">
        <f t="shared" ref="K16" si="8">J16+1</f>
        <v>11</v>
      </c>
      <c r="L16" s="10">
        <f t="shared" ref="L16" si="9">K16+1</f>
        <v>12</v>
      </c>
      <c r="M16" s="10">
        <f t="shared" ref="M16" si="10">L16+1</f>
        <v>13</v>
      </c>
      <c r="N16" s="10">
        <f t="shared" ref="N16" si="11">M16+1</f>
        <v>14</v>
      </c>
      <c r="O16" s="10">
        <f t="shared" ref="O16" si="12">N16+1</f>
        <v>15</v>
      </c>
      <c r="P16" s="10">
        <f t="shared" ref="P16" si="13">O16+1</f>
        <v>16</v>
      </c>
      <c r="Q16" s="10">
        <f t="shared" ref="Q16" si="14">P16+1</f>
        <v>17</v>
      </c>
      <c r="R16" s="10">
        <f t="shared" ref="R16" si="15">Q16+1</f>
        <v>18</v>
      </c>
      <c r="S16" s="10">
        <f t="shared" ref="S16" si="16">R16+1</f>
        <v>19</v>
      </c>
      <c r="T16" s="10">
        <f t="shared" ref="T16" si="17">S16+1</f>
        <v>20</v>
      </c>
      <c r="U16" s="10">
        <f t="shared" ref="U16" si="18">T16+1</f>
        <v>21</v>
      </c>
      <c r="V16" s="10">
        <f t="shared" ref="V16" si="19">U16+1</f>
        <v>22</v>
      </c>
      <c r="W16" s="10">
        <f t="shared" ref="W16" si="20">V16+1</f>
        <v>23</v>
      </c>
      <c r="X16" s="10">
        <f t="shared" ref="X16" si="21">W16+1</f>
        <v>24</v>
      </c>
      <c r="Y16" s="10">
        <f t="shared" ref="Y16" si="22">X16+1</f>
        <v>25</v>
      </c>
      <c r="Z16" s="10">
        <f t="shared" ref="Z16" si="23">Y16+1</f>
        <v>26</v>
      </c>
      <c r="AA16" s="10">
        <f t="shared" ref="AA16" si="24">Z16+1</f>
        <v>27</v>
      </c>
      <c r="AB16" s="10">
        <f t="shared" ref="AB16" si="25">AA16+1</f>
        <v>28</v>
      </c>
      <c r="AC16" s="10">
        <f t="shared" ref="AC16" si="26">AB16+1</f>
        <v>29</v>
      </c>
    </row>
    <row r="17" spans="1:29" s="9" customFormat="1" ht="38.25" customHeight="1" x14ac:dyDescent="0.2">
      <c r="A17" s="17">
        <v>1</v>
      </c>
      <c r="B17" s="4" t="s">
        <v>77</v>
      </c>
      <c r="C17" s="18" t="s">
        <v>78</v>
      </c>
      <c r="D17" s="53" t="s">
        <v>79</v>
      </c>
      <c r="E17" s="20" t="s">
        <v>80</v>
      </c>
      <c r="F17" s="3" t="s">
        <v>81</v>
      </c>
      <c r="G17" s="3" t="s">
        <v>82</v>
      </c>
      <c r="H17" s="4" t="s">
        <v>83</v>
      </c>
      <c r="I17" s="46">
        <v>4</v>
      </c>
      <c r="J17" s="102">
        <v>46522</v>
      </c>
      <c r="K17" s="11"/>
      <c r="L17" s="25" t="s">
        <v>36</v>
      </c>
      <c r="M17" s="11"/>
      <c r="N17" s="26" t="s">
        <v>37</v>
      </c>
      <c r="O17" s="11"/>
      <c r="P17" s="11"/>
      <c r="Q17" s="11"/>
      <c r="R17" s="11"/>
      <c r="S17" s="11"/>
      <c r="T17" s="11"/>
      <c r="U17" s="11"/>
      <c r="V17" s="11"/>
      <c r="W17" s="12" t="s">
        <v>113</v>
      </c>
      <c r="X17" s="12" t="s">
        <v>113</v>
      </c>
      <c r="Y17" s="12" t="s">
        <v>113</v>
      </c>
      <c r="Z17" s="12"/>
      <c r="AA17" s="11"/>
      <c r="AB17" s="13"/>
      <c r="AC17" s="13"/>
    </row>
    <row r="18" spans="1:29" s="9" customFormat="1" ht="38.25" customHeight="1" x14ac:dyDescent="0.2">
      <c r="A18" s="17">
        <v>2</v>
      </c>
      <c r="B18" s="4" t="s">
        <v>84</v>
      </c>
      <c r="C18" s="18" t="s">
        <v>85</v>
      </c>
      <c r="D18" s="53"/>
      <c r="E18" s="20" t="s">
        <v>86</v>
      </c>
      <c r="F18" s="3" t="s">
        <v>81</v>
      </c>
      <c r="G18" s="3" t="s">
        <v>82</v>
      </c>
      <c r="H18" s="4" t="s">
        <v>83</v>
      </c>
      <c r="I18" s="46">
        <v>16</v>
      </c>
      <c r="J18" s="102">
        <v>46522</v>
      </c>
      <c r="K18" s="11"/>
      <c r="L18" s="25" t="s">
        <v>36</v>
      </c>
      <c r="M18" s="11"/>
      <c r="N18" s="26" t="s">
        <v>37</v>
      </c>
      <c r="O18" s="11"/>
      <c r="P18" s="11"/>
      <c r="Q18" s="11"/>
      <c r="R18" s="11"/>
      <c r="S18" s="11"/>
      <c r="T18" s="11"/>
      <c r="U18" s="11"/>
      <c r="V18" s="11"/>
      <c r="W18" s="12" t="s">
        <v>113</v>
      </c>
      <c r="X18" s="12" t="s">
        <v>113</v>
      </c>
      <c r="Y18" s="12" t="s">
        <v>113</v>
      </c>
      <c r="Z18" s="12"/>
      <c r="AA18" s="11"/>
      <c r="AB18" s="13"/>
      <c r="AC18" s="13"/>
    </row>
    <row r="19" spans="1:29" s="9" customFormat="1" ht="38.25" customHeight="1" x14ac:dyDescent="0.2">
      <c r="A19" s="17">
        <v>3</v>
      </c>
      <c r="B19" s="4" t="s">
        <v>87</v>
      </c>
      <c r="C19" s="18" t="s">
        <v>88</v>
      </c>
      <c r="D19" s="53"/>
      <c r="E19" s="20" t="s">
        <v>89</v>
      </c>
      <c r="F19" s="3" t="s">
        <v>81</v>
      </c>
      <c r="G19" s="3" t="s">
        <v>82</v>
      </c>
      <c r="H19" s="4" t="s">
        <v>83</v>
      </c>
      <c r="I19" s="46">
        <v>1</v>
      </c>
      <c r="J19" s="102">
        <v>46522</v>
      </c>
      <c r="K19" s="11"/>
      <c r="L19" s="25" t="s">
        <v>36</v>
      </c>
      <c r="M19" s="11"/>
      <c r="N19" s="26" t="s">
        <v>37</v>
      </c>
      <c r="O19" s="11"/>
      <c r="P19" s="11"/>
      <c r="Q19" s="11"/>
      <c r="R19" s="11"/>
      <c r="S19" s="11"/>
      <c r="T19" s="11"/>
      <c r="U19" s="11"/>
      <c r="V19" s="11"/>
      <c r="W19" s="12" t="s">
        <v>113</v>
      </c>
      <c r="X19" s="12" t="s">
        <v>113</v>
      </c>
      <c r="Y19" s="12" t="s">
        <v>113</v>
      </c>
      <c r="Z19" s="12"/>
      <c r="AA19" s="11"/>
      <c r="AB19" s="13"/>
      <c r="AC19" s="13"/>
    </row>
    <row r="20" spans="1:29" s="9" customFormat="1" ht="38.25" customHeight="1" x14ac:dyDescent="0.2">
      <c r="A20" s="17">
        <v>4</v>
      </c>
      <c r="B20" s="4" t="s">
        <v>90</v>
      </c>
      <c r="C20" s="18" t="s">
        <v>91</v>
      </c>
      <c r="D20" s="53"/>
      <c r="E20" s="20" t="s">
        <v>92</v>
      </c>
      <c r="F20" s="3" t="s">
        <v>81</v>
      </c>
      <c r="G20" s="3" t="s">
        <v>82</v>
      </c>
      <c r="H20" s="4" t="s">
        <v>83</v>
      </c>
      <c r="I20" s="46">
        <v>2</v>
      </c>
      <c r="J20" s="102">
        <v>46522</v>
      </c>
      <c r="K20" s="11"/>
      <c r="L20" s="25" t="s">
        <v>36</v>
      </c>
      <c r="M20" s="11"/>
      <c r="N20" s="26" t="s">
        <v>37</v>
      </c>
      <c r="O20" s="11"/>
      <c r="P20" s="11"/>
      <c r="Q20" s="11"/>
      <c r="R20" s="11"/>
      <c r="S20" s="11"/>
      <c r="T20" s="11"/>
      <c r="U20" s="11"/>
      <c r="V20" s="11"/>
      <c r="W20" s="12" t="s">
        <v>113</v>
      </c>
      <c r="X20" s="12" t="s">
        <v>113</v>
      </c>
      <c r="Y20" s="12" t="s">
        <v>113</v>
      </c>
      <c r="Z20" s="12"/>
      <c r="AA20" s="11"/>
      <c r="AB20" s="13"/>
      <c r="AC20" s="13"/>
    </row>
    <row r="21" spans="1:29" s="9" customFormat="1" ht="38.25" customHeight="1" x14ac:dyDescent="0.2">
      <c r="A21" s="17">
        <v>5</v>
      </c>
      <c r="B21" s="4" t="s">
        <v>90</v>
      </c>
      <c r="C21" s="18" t="s">
        <v>91</v>
      </c>
      <c r="D21" s="53"/>
      <c r="E21" s="20" t="s">
        <v>93</v>
      </c>
      <c r="F21" s="3" t="s">
        <v>81</v>
      </c>
      <c r="G21" s="3" t="s">
        <v>82</v>
      </c>
      <c r="H21" s="4" t="s">
        <v>83</v>
      </c>
      <c r="I21" s="46">
        <v>2</v>
      </c>
      <c r="J21" s="102">
        <v>46522</v>
      </c>
      <c r="K21" s="11"/>
      <c r="L21" s="25" t="s">
        <v>36</v>
      </c>
      <c r="M21" s="11"/>
      <c r="N21" s="26" t="s">
        <v>37</v>
      </c>
      <c r="O21" s="11"/>
      <c r="P21" s="11"/>
      <c r="Q21" s="11"/>
      <c r="R21" s="11"/>
      <c r="S21" s="11"/>
      <c r="T21" s="11"/>
      <c r="U21" s="11"/>
      <c r="V21" s="11"/>
      <c r="W21" s="12" t="s">
        <v>113</v>
      </c>
      <c r="X21" s="12" t="s">
        <v>113</v>
      </c>
      <c r="Y21" s="12" t="s">
        <v>113</v>
      </c>
      <c r="Z21" s="12"/>
      <c r="AA21" s="11"/>
      <c r="AB21" s="13"/>
      <c r="AC21" s="13"/>
    </row>
    <row r="22" spans="1:29" s="9" customFormat="1" ht="38.25" customHeight="1" x14ac:dyDescent="0.2">
      <c r="A22" s="17">
        <v>6</v>
      </c>
      <c r="B22" s="4" t="s">
        <v>94</v>
      </c>
      <c r="C22" s="18" t="s">
        <v>95</v>
      </c>
      <c r="D22" s="53" t="s">
        <v>96</v>
      </c>
      <c r="E22" s="20" t="s">
        <v>97</v>
      </c>
      <c r="F22" s="3" t="s">
        <v>81</v>
      </c>
      <c r="G22" s="3" t="s">
        <v>82</v>
      </c>
      <c r="H22" s="4" t="s">
        <v>83</v>
      </c>
      <c r="I22" s="46">
        <v>1</v>
      </c>
      <c r="J22" s="102">
        <v>46522</v>
      </c>
      <c r="K22" s="11"/>
      <c r="L22" s="25" t="s">
        <v>36</v>
      </c>
      <c r="M22" s="11"/>
      <c r="N22" s="26" t="s">
        <v>37</v>
      </c>
      <c r="O22" s="11"/>
      <c r="P22" s="11"/>
      <c r="Q22" s="11"/>
      <c r="R22" s="11"/>
      <c r="S22" s="11"/>
      <c r="T22" s="11"/>
      <c r="U22" s="11"/>
      <c r="V22" s="11"/>
      <c r="W22" s="12" t="s">
        <v>113</v>
      </c>
      <c r="X22" s="12" t="s">
        <v>113</v>
      </c>
      <c r="Y22" s="12" t="s">
        <v>113</v>
      </c>
      <c r="Z22" s="12"/>
      <c r="AA22" s="11"/>
      <c r="AB22" s="13"/>
      <c r="AC22" s="13"/>
    </row>
    <row r="23" spans="1:29" s="9" customFormat="1" ht="38.25" customHeight="1" x14ac:dyDescent="0.2">
      <c r="A23" s="17">
        <v>7</v>
      </c>
      <c r="B23" s="4" t="s">
        <v>98</v>
      </c>
      <c r="C23" s="18" t="s">
        <v>99</v>
      </c>
      <c r="D23" s="53" t="s">
        <v>100</v>
      </c>
      <c r="E23" s="20" t="s">
        <v>80</v>
      </c>
      <c r="F23" s="3" t="s">
        <v>81</v>
      </c>
      <c r="G23" s="3" t="s">
        <v>82</v>
      </c>
      <c r="H23" s="4" t="s">
        <v>83</v>
      </c>
      <c r="I23" s="46">
        <v>1</v>
      </c>
      <c r="J23" s="102">
        <v>46522</v>
      </c>
      <c r="K23" s="11"/>
      <c r="L23" s="25" t="s">
        <v>36</v>
      </c>
      <c r="M23" s="11"/>
      <c r="N23" s="26" t="s">
        <v>37</v>
      </c>
      <c r="O23" s="11"/>
      <c r="P23" s="11"/>
      <c r="Q23" s="11"/>
      <c r="R23" s="11"/>
      <c r="S23" s="11"/>
      <c r="T23" s="11"/>
      <c r="U23" s="11"/>
      <c r="V23" s="11"/>
      <c r="W23" s="12" t="s">
        <v>113</v>
      </c>
      <c r="X23" s="12" t="s">
        <v>113</v>
      </c>
      <c r="Y23" s="12" t="s">
        <v>113</v>
      </c>
      <c r="Z23" s="12"/>
      <c r="AA23" s="11"/>
      <c r="AB23" s="13"/>
      <c r="AC23" s="13"/>
    </row>
    <row r="24" spans="1:29" s="9" customFormat="1" ht="38.25" customHeight="1" x14ac:dyDescent="0.2">
      <c r="A24" s="17">
        <v>8</v>
      </c>
      <c r="B24" s="4" t="s">
        <v>101</v>
      </c>
      <c r="C24" s="18" t="s">
        <v>102</v>
      </c>
      <c r="D24" s="53" t="s">
        <v>100</v>
      </c>
      <c r="E24" s="20" t="s">
        <v>80</v>
      </c>
      <c r="F24" s="3" t="s">
        <v>81</v>
      </c>
      <c r="G24" s="3" t="s">
        <v>82</v>
      </c>
      <c r="H24" s="4" t="s">
        <v>83</v>
      </c>
      <c r="I24" s="46">
        <v>1</v>
      </c>
      <c r="J24" s="102">
        <v>46522</v>
      </c>
      <c r="K24" s="11"/>
      <c r="L24" s="25" t="s">
        <v>36</v>
      </c>
      <c r="M24" s="11"/>
      <c r="N24" s="26" t="s">
        <v>37</v>
      </c>
      <c r="O24" s="11"/>
      <c r="P24" s="11"/>
      <c r="Q24" s="11"/>
      <c r="R24" s="11"/>
      <c r="S24" s="11"/>
      <c r="T24" s="11"/>
      <c r="U24" s="11"/>
      <c r="V24" s="11"/>
      <c r="W24" s="12" t="s">
        <v>113</v>
      </c>
      <c r="X24" s="12" t="s">
        <v>113</v>
      </c>
      <c r="Y24" s="12" t="s">
        <v>113</v>
      </c>
      <c r="Z24" s="12"/>
      <c r="AA24" s="11"/>
      <c r="AB24" s="13"/>
      <c r="AC24" s="13"/>
    </row>
    <row r="25" spans="1:29" s="9" customFormat="1" ht="38.25" customHeight="1" x14ac:dyDescent="0.2">
      <c r="A25" s="17">
        <v>9</v>
      </c>
      <c r="B25" s="4" t="s">
        <v>103</v>
      </c>
      <c r="C25" s="18" t="s">
        <v>104</v>
      </c>
      <c r="D25" s="53" t="s">
        <v>96</v>
      </c>
      <c r="E25" s="20" t="s">
        <v>105</v>
      </c>
      <c r="F25" s="3" t="s">
        <v>81</v>
      </c>
      <c r="G25" s="3" t="s">
        <v>82</v>
      </c>
      <c r="H25" s="4" t="s">
        <v>83</v>
      </c>
      <c r="I25" s="46">
        <v>1</v>
      </c>
      <c r="J25" s="102">
        <v>46522</v>
      </c>
      <c r="K25" s="11"/>
      <c r="L25" s="25" t="s">
        <v>36</v>
      </c>
      <c r="M25" s="11"/>
      <c r="N25" s="26" t="s">
        <v>37</v>
      </c>
      <c r="O25" s="11"/>
      <c r="P25" s="11"/>
      <c r="Q25" s="11"/>
      <c r="R25" s="11"/>
      <c r="S25" s="11"/>
      <c r="T25" s="11"/>
      <c r="U25" s="11"/>
      <c r="V25" s="11"/>
      <c r="W25" s="12" t="s">
        <v>113</v>
      </c>
      <c r="X25" s="12" t="s">
        <v>113</v>
      </c>
      <c r="Y25" s="12" t="s">
        <v>113</v>
      </c>
      <c r="Z25" s="12"/>
      <c r="AA25" s="11"/>
      <c r="AB25" s="13"/>
      <c r="AC25" s="13"/>
    </row>
    <row r="26" spans="1:29" s="9" customFormat="1" ht="38.25" customHeight="1" x14ac:dyDescent="0.2">
      <c r="A26" s="17">
        <v>10</v>
      </c>
      <c r="B26" s="4" t="s">
        <v>106</v>
      </c>
      <c r="C26" s="18" t="s">
        <v>107</v>
      </c>
      <c r="D26" s="53" t="s">
        <v>96</v>
      </c>
      <c r="E26" s="20" t="s">
        <v>108</v>
      </c>
      <c r="F26" s="3" t="s">
        <v>81</v>
      </c>
      <c r="G26" s="3" t="s">
        <v>82</v>
      </c>
      <c r="H26" s="4" t="s">
        <v>83</v>
      </c>
      <c r="I26" s="46">
        <v>1</v>
      </c>
      <c r="J26" s="102">
        <v>46522</v>
      </c>
      <c r="K26" s="11"/>
      <c r="L26" s="25" t="s">
        <v>36</v>
      </c>
      <c r="M26" s="11"/>
      <c r="N26" s="26" t="s">
        <v>37</v>
      </c>
      <c r="O26" s="11"/>
      <c r="P26" s="11"/>
      <c r="Q26" s="11"/>
      <c r="R26" s="11"/>
      <c r="S26" s="11"/>
      <c r="T26" s="11"/>
      <c r="U26" s="11"/>
      <c r="V26" s="11"/>
      <c r="W26" s="12" t="s">
        <v>113</v>
      </c>
      <c r="X26" s="12" t="s">
        <v>113</v>
      </c>
      <c r="Y26" s="12" t="s">
        <v>113</v>
      </c>
      <c r="Z26" s="12"/>
      <c r="AA26" s="11"/>
      <c r="AB26" s="13"/>
      <c r="AC26" s="13"/>
    </row>
    <row r="27" spans="1:29" s="9" customFormat="1" ht="38.25" customHeight="1" x14ac:dyDescent="0.2">
      <c r="A27" s="17">
        <v>11</v>
      </c>
      <c r="B27" s="4" t="s">
        <v>106</v>
      </c>
      <c r="C27" s="18" t="s">
        <v>107</v>
      </c>
      <c r="D27" s="53" t="s">
        <v>96</v>
      </c>
      <c r="E27" s="20" t="s">
        <v>109</v>
      </c>
      <c r="F27" s="3" t="s">
        <v>81</v>
      </c>
      <c r="G27" s="3" t="s">
        <v>82</v>
      </c>
      <c r="H27" s="4" t="s">
        <v>83</v>
      </c>
      <c r="I27" s="46">
        <v>1</v>
      </c>
      <c r="J27" s="102">
        <v>46522</v>
      </c>
      <c r="K27" s="11"/>
      <c r="L27" s="25" t="s">
        <v>36</v>
      </c>
      <c r="M27" s="11"/>
      <c r="N27" s="26" t="s">
        <v>37</v>
      </c>
      <c r="O27" s="11"/>
      <c r="P27" s="11"/>
      <c r="Q27" s="11"/>
      <c r="R27" s="11"/>
      <c r="S27" s="11"/>
      <c r="T27" s="11"/>
      <c r="U27" s="11"/>
      <c r="V27" s="11"/>
      <c r="W27" s="12" t="s">
        <v>113</v>
      </c>
      <c r="X27" s="12" t="s">
        <v>113</v>
      </c>
      <c r="Y27" s="12" t="s">
        <v>113</v>
      </c>
      <c r="Z27" s="12"/>
      <c r="AA27" s="11"/>
      <c r="AB27" s="13"/>
      <c r="AC27" s="13"/>
    </row>
    <row r="28" spans="1:29" s="9" customFormat="1" ht="20.25" customHeight="1" x14ac:dyDescent="0.2">
      <c r="A28" s="14" t="s">
        <v>23</v>
      </c>
      <c r="B28" s="15"/>
      <c r="C28" s="15"/>
      <c r="D28" s="15"/>
      <c r="E28" s="16"/>
      <c r="F28" s="21"/>
      <c r="G28" s="5"/>
      <c r="H28" s="5"/>
      <c r="I28" s="45">
        <f>SUM(I17:I27)</f>
        <v>31</v>
      </c>
      <c r="J28" s="51"/>
      <c r="K28" s="51"/>
      <c r="L28" s="51"/>
      <c r="M28" s="51"/>
      <c r="N28" s="51"/>
      <c r="O28" s="56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2"/>
      <c r="AC28" s="57"/>
    </row>
    <row r="29" spans="1:29" ht="18.75" customHeight="1" x14ac:dyDescent="0.2">
      <c r="A29" s="75" t="s">
        <v>45</v>
      </c>
      <c r="B29" s="75"/>
      <c r="C29" s="75"/>
      <c r="D29" s="75"/>
      <c r="E29" s="75"/>
      <c r="F29" s="73" t="s">
        <v>46</v>
      </c>
      <c r="G29" s="73"/>
      <c r="H29" s="73"/>
      <c r="I29" s="73"/>
      <c r="J29" s="73"/>
      <c r="K29" s="73"/>
      <c r="L29" s="73"/>
      <c r="M29" s="99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1"/>
    </row>
    <row r="30" spans="1:29" ht="42" customHeight="1" x14ac:dyDescent="0.2">
      <c r="A30" s="75" t="s">
        <v>47</v>
      </c>
      <c r="B30" s="75"/>
      <c r="C30" s="75"/>
      <c r="D30" s="75"/>
      <c r="E30" s="75"/>
      <c r="F30" s="74" t="s">
        <v>76</v>
      </c>
      <c r="G30" s="74"/>
      <c r="H30" s="74"/>
      <c r="I30" s="74"/>
      <c r="J30" s="74"/>
      <c r="K30" s="74"/>
      <c r="L30" s="74"/>
      <c r="M30" s="82" t="s">
        <v>71</v>
      </c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4"/>
    </row>
    <row r="31" spans="1:29" ht="51.75" customHeight="1" x14ac:dyDescent="0.2">
      <c r="A31" s="75" t="s">
        <v>48</v>
      </c>
      <c r="B31" s="75"/>
      <c r="C31" s="75"/>
      <c r="D31" s="75"/>
      <c r="E31" s="75"/>
      <c r="F31" s="74" t="s">
        <v>49</v>
      </c>
      <c r="G31" s="74"/>
      <c r="H31" s="74"/>
      <c r="I31" s="74"/>
      <c r="J31" s="74"/>
      <c r="K31" s="74"/>
      <c r="L31" s="74"/>
      <c r="M31" s="82" t="s">
        <v>71</v>
      </c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4"/>
    </row>
    <row r="32" spans="1:29" ht="18.75" customHeight="1" x14ac:dyDescent="0.2">
      <c r="A32" s="75" t="s">
        <v>50</v>
      </c>
      <c r="B32" s="75"/>
      <c r="C32" s="75"/>
      <c r="D32" s="75"/>
      <c r="E32" s="75"/>
      <c r="F32" s="74" t="s">
        <v>51</v>
      </c>
      <c r="G32" s="74"/>
      <c r="H32" s="74"/>
      <c r="I32" s="74"/>
      <c r="J32" s="74"/>
      <c r="K32" s="74"/>
      <c r="L32" s="74"/>
      <c r="M32" s="82" t="s">
        <v>71</v>
      </c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4"/>
    </row>
    <row r="33" spans="1:55" ht="20.25" customHeight="1" x14ac:dyDescent="0.2">
      <c r="A33" s="75" t="s">
        <v>52</v>
      </c>
      <c r="B33" s="75"/>
      <c r="C33" s="75"/>
      <c r="D33" s="75"/>
      <c r="E33" s="75"/>
      <c r="F33" s="74" t="s">
        <v>53</v>
      </c>
      <c r="G33" s="74"/>
      <c r="H33" s="74"/>
      <c r="I33" s="74"/>
      <c r="J33" s="74"/>
      <c r="K33" s="74"/>
      <c r="L33" s="74"/>
      <c r="M33" s="82" t="s">
        <v>71</v>
      </c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4"/>
    </row>
    <row r="34" spans="1:55" ht="22.5" customHeight="1" x14ac:dyDescent="0.2">
      <c r="A34" s="75" t="s">
        <v>15</v>
      </c>
      <c r="B34" s="75"/>
      <c r="C34" s="75"/>
      <c r="D34" s="75"/>
      <c r="E34" s="75"/>
      <c r="F34" s="74" t="s">
        <v>111</v>
      </c>
      <c r="G34" s="74"/>
      <c r="H34" s="74"/>
      <c r="I34" s="74"/>
      <c r="J34" s="74"/>
      <c r="K34" s="74"/>
      <c r="L34" s="74"/>
      <c r="M34" s="82" t="s">
        <v>71</v>
      </c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4"/>
    </row>
    <row r="35" spans="1:55" ht="18.75" customHeight="1" x14ac:dyDescent="0.2">
      <c r="A35" s="75" t="s">
        <v>54</v>
      </c>
      <c r="B35" s="75"/>
      <c r="C35" s="75"/>
      <c r="D35" s="75"/>
      <c r="E35" s="75"/>
      <c r="F35" s="74" t="s">
        <v>73</v>
      </c>
      <c r="G35" s="74"/>
      <c r="H35" s="74"/>
      <c r="I35" s="74"/>
      <c r="J35" s="74"/>
      <c r="K35" s="74"/>
      <c r="L35" s="74"/>
      <c r="M35" s="82" t="s">
        <v>71</v>
      </c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4"/>
    </row>
    <row r="36" spans="1:55" ht="37.5" customHeight="1" x14ac:dyDescent="0.2">
      <c r="A36" s="75" t="s">
        <v>55</v>
      </c>
      <c r="B36" s="75"/>
      <c r="C36" s="75"/>
      <c r="D36" s="75"/>
      <c r="E36" s="75"/>
      <c r="F36" s="74" t="s">
        <v>56</v>
      </c>
      <c r="G36" s="74"/>
      <c r="H36" s="74"/>
      <c r="I36" s="74"/>
      <c r="J36" s="74"/>
      <c r="K36" s="74"/>
      <c r="L36" s="74"/>
      <c r="M36" s="82" t="s">
        <v>71</v>
      </c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4"/>
    </row>
    <row r="37" spans="1:55" ht="39" customHeight="1" x14ac:dyDescent="0.2">
      <c r="A37" s="75" t="s">
        <v>57</v>
      </c>
      <c r="B37" s="75"/>
      <c r="C37" s="75"/>
      <c r="D37" s="75"/>
      <c r="E37" s="75"/>
      <c r="F37" s="74" t="s">
        <v>67</v>
      </c>
      <c r="G37" s="74"/>
      <c r="H37" s="74"/>
      <c r="I37" s="74"/>
      <c r="J37" s="74"/>
      <c r="K37" s="74"/>
      <c r="L37" s="74"/>
      <c r="M37" s="82" t="s">
        <v>71</v>
      </c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4"/>
    </row>
    <row r="38" spans="1:55" s="9" customFormat="1" ht="33" customHeight="1" x14ac:dyDescent="0.2">
      <c r="A38" s="87" t="s">
        <v>112</v>
      </c>
      <c r="B38" s="87"/>
      <c r="C38" s="87"/>
      <c r="D38" s="87"/>
      <c r="E38" s="87"/>
      <c r="F38" s="74" t="s">
        <v>28</v>
      </c>
      <c r="G38" s="74"/>
      <c r="H38" s="74"/>
      <c r="I38" s="74"/>
      <c r="J38" s="74"/>
      <c r="K38" s="74"/>
      <c r="L38" s="74"/>
      <c r="M38" s="82" t="s">
        <v>71</v>
      </c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4"/>
    </row>
    <row r="39" spans="1:55" ht="39" customHeight="1" x14ac:dyDescent="0.2">
      <c r="A39" s="75" t="s">
        <v>66</v>
      </c>
      <c r="B39" s="75"/>
      <c r="C39" s="75"/>
      <c r="D39" s="75"/>
      <c r="E39" s="75"/>
      <c r="F39" s="74" t="s">
        <v>75</v>
      </c>
      <c r="G39" s="74"/>
      <c r="H39" s="74"/>
      <c r="I39" s="74"/>
      <c r="J39" s="74"/>
      <c r="K39" s="74"/>
      <c r="L39" s="74"/>
      <c r="M39" s="82" t="s">
        <v>71</v>
      </c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4"/>
    </row>
    <row r="40" spans="1:55" s="47" customFormat="1" ht="15.75" x14ac:dyDescent="0.2">
      <c r="A40" s="75" t="s">
        <v>69</v>
      </c>
      <c r="B40" s="75"/>
      <c r="C40" s="75"/>
      <c r="D40" s="75"/>
      <c r="E40" s="75"/>
      <c r="F40" s="74" t="s">
        <v>70</v>
      </c>
      <c r="G40" s="74"/>
      <c r="H40" s="74"/>
      <c r="I40" s="74"/>
      <c r="J40" s="74"/>
      <c r="K40" s="74"/>
      <c r="L40" s="74"/>
      <c r="M40" s="82" t="s">
        <v>71</v>
      </c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4"/>
    </row>
    <row r="41" spans="1:55" s="47" customFormat="1" ht="15.75" x14ac:dyDescent="0.2">
      <c r="A41" s="75" t="s">
        <v>2</v>
      </c>
      <c r="B41" s="75"/>
      <c r="C41" s="75"/>
      <c r="D41" s="75"/>
      <c r="E41" s="75"/>
      <c r="F41" s="74" t="s">
        <v>68</v>
      </c>
      <c r="G41" s="74"/>
      <c r="H41" s="74"/>
      <c r="I41" s="74"/>
      <c r="J41" s="74"/>
      <c r="K41" s="74"/>
      <c r="L41" s="74"/>
      <c r="M41" s="82" t="s">
        <v>71</v>
      </c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4"/>
    </row>
    <row r="42" spans="1:55" ht="18.75" x14ac:dyDescent="0.2">
      <c r="A42" s="42"/>
      <c r="B42" s="42"/>
      <c r="C42" s="42"/>
      <c r="D42" s="43"/>
      <c r="E42" s="42"/>
      <c r="F42" s="42"/>
      <c r="G42" s="42"/>
      <c r="H42" s="42"/>
      <c r="I42" s="42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</row>
    <row r="43" spans="1:55" ht="18.75" x14ac:dyDescent="0.2">
      <c r="A43" s="42"/>
      <c r="B43" s="42"/>
      <c r="C43" s="42"/>
      <c r="D43" s="43"/>
      <c r="E43" s="42"/>
      <c r="F43" s="42"/>
      <c r="G43" s="42"/>
      <c r="H43" s="42"/>
      <c r="I43" s="42"/>
      <c r="J43" s="98"/>
      <c r="K43" s="98"/>
      <c r="L43" s="98"/>
      <c r="M43" s="98"/>
      <c r="N43" s="98"/>
      <c r="O43" s="55"/>
      <c r="P43" s="98"/>
      <c r="Q43" s="9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</row>
    <row r="44" spans="1:55" ht="20.25" x14ac:dyDescent="0.2">
      <c r="A44" s="42"/>
      <c r="B44" s="42"/>
      <c r="C44" s="42"/>
      <c r="D44" s="43"/>
      <c r="E44" s="42"/>
      <c r="F44" s="42"/>
      <c r="G44" s="42"/>
      <c r="H44" s="42"/>
      <c r="I44" s="44"/>
      <c r="J44" s="95" t="s">
        <v>59</v>
      </c>
      <c r="K44" s="95"/>
      <c r="L44" s="95"/>
      <c r="M44" s="95"/>
      <c r="N44" s="95"/>
      <c r="O44" s="54"/>
      <c r="P44" s="95" t="s">
        <v>60</v>
      </c>
      <c r="Q44" s="95"/>
      <c r="R44" s="96"/>
      <c r="S44" s="96"/>
      <c r="T44" s="96"/>
      <c r="U44" s="97" t="s">
        <v>59</v>
      </c>
      <c r="V44" s="97"/>
      <c r="W44" s="97"/>
      <c r="X44" s="97"/>
      <c r="Y44" s="97"/>
      <c r="Z44" s="36"/>
      <c r="AA44" s="36"/>
      <c r="AB44" s="36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6"/>
      <c r="AY44" s="36"/>
      <c r="AZ44" s="35"/>
      <c r="BA44" s="35"/>
      <c r="BB44" s="35"/>
      <c r="BC44" s="35"/>
    </row>
    <row r="45" spans="1:55" ht="18.75" x14ac:dyDescent="0.2">
      <c r="A45" s="35"/>
      <c r="B45" s="35"/>
      <c r="C45" s="35"/>
      <c r="D45" s="35"/>
      <c r="E45" s="35"/>
      <c r="F45" s="35"/>
      <c r="G45" s="35"/>
      <c r="H45" s="35"/>
      <c r="I45" s="35"/>
      <c r="J45" s="27"/>
      <c r="K45" s="37"/>
      <c r="L45" s="37"/>
      <c r="M45" s="37"/>
      <c r="N45" s="37"/>
      <c r="O45" s="37"/>
      <c r="P45" s="37"/>
      <c r="Q45" s="38" t="s">
        <v>61</v>
      </c>
      <c r="R45" s="37"/>
      <c r="S45" s="37"/>
      <c r="T45" s="37"/>
      <c r="U45" s="37"/>
      <c r="V45" s="37"/>
      <c r="W45" s="37"/>
      <c r="X45" s="37"/>
      <c r="Y45" s="37"/>
      <c r="Z45" s="37"/>
      <c r="AA45" s="39"/>
      <c r="AB45" s="39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</row>
    <row r="46" spans="1:55" ht="18.75" x14ac:dyDescent="0.2">
      <c r="A46" s="35"/>
      <c r="B46" s="35"/>
      <c r="C46" s="35"/>
      <c r="D46" s="35"/>
      <c r="E46" s="88" t="s">
        <v>62</v>
      </c>
      <c r="F46" s="88"/>
      <c r="G46" s="88"/>
      <c r="H46" s="88"/>
      <c r="I46" s="88"/>
      <c r="J46" s="36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9"/>
      <c r="AV46" s="39"/>
      <c r="AW46" s="39"/>
      <c r="AX46" s="39"/>
      <c r="AY46" s="39"/>
      <c r="AZ46" s="39"/>
      <c r="BA46" s="35"/>
      <c r="BB46" s="35"/>
      <c r="BC46" s="35"/>
    </row>
    <row r="47" spans="1:55" ht="18.75" x14ac:dyDescent="0.2">
      <c r="A47" s="35"/>
      <c r="B47" s="35"/>
      <c r="C47" s="35"/>
      <c r="D47" s="35"/>
      <c r="E47" s="92" t="s">
        <v>63</v>
      </c>
      <c r="F47" s="92"/>
      <c r="G47" s="92"/>
      <c r="H47" s="92"/>
      <c r="I47" s="92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</row>
    <row r="48" spans="1:55" ht="24" customHeight="1" x14ac:dyDescent="0.2">
      <c r="C48" s="39"/>
      <c r="D48" s="39"/>
      <c r="E48" s="94" t="s">
        <v>58</v>
      </c>
      <c r="F48" s="94"/>
      <c r="G48" s="94"/>
      <c r="H48" s="94"/>
      <c r="I48" s="94"/>
      <c r="J48" s="39"/>
      <c r="K48" s="39"/>
      <c r="L48" s="39"/>
      <c r="M48" s="39"/>
      <c r="N48" s="35"/>
      <c r="O48" s="35"/>
      <c r="P48" s="35"/>
      <c r="Q48" s="39"/>
      <c r="R48" s="39"/>
      <c r="S48" s="35"/>
      <c r="T48" s="35"/>
      <c r="U48" s="39"/>
      <c r="V48" s="39"/>
      <c r="W48" s="39"/>
      <c r="X48" s="39"/>
      <c r="Y48" s="39"/>
      <c r="Z48" s="35"/>
      <c r="AA48" s="35"/>
      <c r="AB48" s="39"/>
      <c r="AC48" s="40"/>
      <c r="AD48" s="40"/>
      <c r="AE48" s="40"/>
      <c r="AF48" s="40"/>
      <c r="AG48" s="41"/>
      <c r="AH48" s="89"/>
      <c r="AI48" s="89"/>
      <c r="AJ48" s="89"/>
      <c r="AK48" s="89"/>
      <c r="AL48" s="89"/>
      <c r="AM48" s="89"/>
      <c r="AN48" s="89"/>
      <c r="AO48" s="90"/>
      <c r="AP48" s="90"/>
      <c r="AQ48" s="90"/>
      <c r="AR48" s="90"/>
      <c r="AS48" s="90"/>
      <c r="AT48" s="90"/>
      <c r="AU48" s="35"/>
      <c r="AV48" s="35"/>
      <c r="AW48" s="35"/>
      <c r="AX48" s="40"/>
      <c r="AY48" s="40"/>
      <c r="AZ48" s="40"/>
      <c r="BA48" s="40"/>
      <c r="BB48" s="40"/>
      <c r="BC48" s="40"/>
    </row>
    <row r="49" spans="1:28" ht="32.25" customHeight="1" x14ac:dyDescent="0.2">
      <c r="A49" s="91" t="s">
        <v>64</v>
      </c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</sheetData>
  <autoFilter ref="A16:AB28"/>
  <mergeCells count="84">
    <mergeCell ref="M31:AB31"/>
    <mergeCell ref="M32:AB32"/>
    <mergeCell ref="M29:AB29"/>
    <mergeCell ref="M33:AB33"/>
    <mergeCell ref="M34:AB34"/>
    <mergeCell ref="M35:AB35"/>
    <mergeCell ref="M36:AB36"/>
    <mergeCell ref="J44:N44"/>
    <mergeCell ref="P44:Q44"/>
    <mergeCell ref="R44:T44"/>
    <mergeCell ref="U44:Y44"/>
    <mergeCell ref="F36:L36"/>
    <mergeCell ref="J43:N43"/>
    <mergeCell ref="P43:Q43"/>
    <mergeCell ref="F39:L39"/>
    <mergeCell ref="E46:I46"/>
    <mergeCell ref="AH48:AK48"/>
    <mergeCell ref="AL48:AN48"/>
    <mergeCell ref="AO48:AT48"/>
    <mergeCell ref="A49:AB49"/>
    <mergeCell ref="E47:I47"/>
    <mergeCell ref="J47:AB47"/>
    <mergeCell ref="E48:I48"/>
    <mergeCell ref="A35:E35"/>
    <mergeCell ref="A36:E36"/>
    <mergeCell ref="F33:L33"/>
    <mergeCell ref="F34:L34"/>
    <mergeCell ref="A33:E33"/>
    <mergeCell ref="A34:E34"/>
    <mergeCell ref="F35:L35"/>
    <mergeCell ref="A41:E41"/>
    <mergeCell ref="F41:L41"/>
    <mergeCell ref="A40:E40"/>
    <mergeCell ref="F40:L40"/>
    <mergeCell ref="M37:AB37"/>
    <mergeCell ref="M38:AB38"/>
    <mergeCell ref="M39:AB39"/>
    <mergeCell ref="M40:AB40"/>
    <mergeCell ref="M41:AB41"/>
    <mergeCell ref="A39:E39"/>
    <mergeCell ref="F37:L37"/>
    <mergeCell ref="A37:E37"/>
    <mergeCell ref="A38:E38"/>
    <mergeCell ref="F38:L38"/>
    <mergeCell ref="F31:L31"/>
    <mergeCell ref="F32:L32"/>
    <mergeCell ref="A31:E31"/>
    <mergeCell ref="A32:E32"/>
    <mergeCell ref="F29:L29"/>
    <mergeCell ref="F30:L30"/>
    <mergeCell ref="A29:E29"/>
    <mergeCell ref="A30:E30"/>
    <mergeCell ref="K4:L4"/>
    <mergeCell ref="F4:H4"/>
    <mergeCell ref="L15:N15"/>
    <mergeCell ref="M30:AB30"/>
    <mergeCell ref="F5:L5"/>
    <mergeCell ref="F6:L6"/>
    <mergeCell ref="E11:L11"/>
    <mergeCell ref="F7:L7"/>
    <mergeCell ref="F8:L8"/>
    <mergeCell ref="F9:L9"/>
    <mergeCell ref="F10:L10"/>
    <mergeCell ref="D6:E6"/>
    <mergeCell ref="AC14:AC15"/>
    <mergeCell ref="A14:A15"/>
    <mergeCell ref="B14:B15"/>
    <mergeCell ref="C14:C15"/>
    <mergeCell ref="E14:E15"/>
    <mergeCell ref="F14:F15"/>
    <mergeCell ref="G14:G15"/>
    <mergeCell ref="H14:H15"/>
    <mergeCell ref="I14:I15"/>
    <mergeCell ref="J14:J15"/>
    <mergeCell ref="K14:AB14"/>
    <mergeCell ref="D14:D15"/>
    <mergeCell ref="D7:E7"/>
    <mergeCell ref="D8:E8"/>
    <mergeCell ref="D9:E9"/>
    <mergeCell ref="D10:E10"/>
    <mergeCell ref="A2:L2"/>
    <mergeCell ref="F3:L3"/>
    <mergeCell ref="D4:E4"/>
    <mergeCell ref="D3:E3"/>
  </mergeCells>
  <pageMargins left="0.15748031496062992" right="0.15748031496062992" top="0.43307086614173229" bottom="0.55118110236220474" header="0.51181102362204722" footer="0.51181102362204722"/>
  <pageSetup paperSize="8" scale="6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Комм часть оферты</vt:lpstr>
      <vt:lpstr>'Комм часть оферты'!Область_печати</vt:lpstr>
    </vt:vector>
  </TitlesOfParts>
  <Company>КНТЦ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ayugorozhankin</dc:creator>
  <cp:lastModifiedBy>Толченкина Виктория Алексеевна</cp:lastModifiedBy>
  <cp:lastPrinted>2024-03-06T10:09:35Z</cp:lastPrinted>
  <dcterms:created xsi:type="dcterms:W3CDTF">2006-11-16T15:38:57Z</dcterms:created>
  <dcterms:modified xsi:type="dcterms:W3CDTF">2026-03-19T11:52:23Z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